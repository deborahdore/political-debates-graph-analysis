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0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/Users/deborahdore/Documents/political-debates-graph-analysis/benchmarking/search_for_best_combination/"/>
    </mc:Choice>
  </mc:AlternateContent>
  <xr:revisionPtr revIDLastSave="0" documentId="13_ncr:1_{D4C6BA70-4744-7046-9787-82E746AD60AF}" xr6:coauthVersionLast="47" xr6:coauthVersionMax="47" xr10:uidLastSave="{00000000-0000-0000-0000-000000000000}"/>
  <bookViews>
    <workbookView xWindow="0" yWindow="0" windowWidth="51200" windowHeight="28800" activeTab="3" xr2:uid="{E2EDC037-19C4-FE46-A599-BB595128A04F}"/>
  </bookViews>
  <sheets>
    <sheet name="Results BASIC" sheetId="1" r:id="rId1"/>
    <sheet name="Results SPECIAL" sheetId="5" r:id="rId2"/>
    <sheet name="Results PRETRAINED" sheetId="6" r:id="rId3"/>
    <sheet name="Trials" sheetId="7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5" i="7" l="1"/>
  <c r="K15" i="7"/>
  <c r="J15" i="7"/>
  <c r="L14" i="7"/>
  <c r="K14" i="7"/>
  <c r="J14" i="7"/>
  <c r="L13" i="7"/>
  <c r="K13" i="7"/>
  <c r="J13" i="7"/>
  <c r="L31" i="7"/>
  <c r="K31" i="7"/>
  <c r="J31" i="7"/>
  <c r="L30" i="7"/>
  <c r="K30" i="7"/>
  <c r="J30" i="7"/>
  <c r="L29" i="7"/>
  <c r="K29" i="7"/>
  <c r="J29" i="7"/>
  <c r="L17" i="7"/>
  <c r="K17" i="7"/>
  <c r="J17" i="7"/>
  <c r="L18" i="7"/>
  <c r="K18" i="7"/>
  <c r="J18" i="7"/>
  <c r="L19" i="7"/>
  <c r="K19" i="7"/>
  <c r="J19" i="7"/>
  <c r="F60" i="5"/>
  <c r="F59" i="5"/>
  <c r="F58" i="5"/>
  <c r="L53" i="7"/>
  <c r="K53" i="7"/>
  <c r="J53" i="7"/>
  <c r="L52" i="7"/>
  <c r="K52" i="7"/>
  <c r="J52" i="7"/>
  <c r="L51" i="7"/>
  <c r="K51" i="7"/>
  <c r="J51" i="7"/>
  <c r="L49" i="7"/>
  <c r="K49" i="7"/>
  <c r="J49" i="7"/>
  <c r="L48" i="7"/>
  <c r="K48" i="7"/>
  <c r="J48" i="7"/>
  <c r="L47" i="7"/>
  <c r="K47" i="7"/>
  <c r="J47" i="7"/>
  <c r="L42" i="7"/>
  <c r="K42" i="7"/>
  <c r="J42" i="7"/>
  <c r="L41" i="7"/>
  <c r="K41" i="7"/>
  <c r="J41" i="7"/>
  <c r="L40" i="7"/>
  <c r="K40" i="7"/>
  <c r="J40" i="7"/>
  <c r="L38" i="7"/>
  <c r="K38" i="7"/>
  <c r="J38" i="7"/>
  <c r="L37" i="7"/>
  <c r="K37" i="7"/>
  <c r="J37" i="7"/>
  <c r="L36" i="7"/>
  <c r="K36" i="7"/>
  <c r="J36" i="7"/>
  <c r="L27" i="7"/>
  <c r="K27" i="7"/>
  <c r="J27" i="7"/>
  <c r="L26" i="7"/>
  <c r="K26" i="7"/>
  <c r="J26" i="7"/>
  <c r="L25" i="7"/>
  <c r="K25" i="7"/>
  <c r="J25" i="7"/>
  <c r="L23" i="7"/>
  <c r="K23" i="7"/>
  <c r="J23" i="7"/>
  <c r="L22" i="7"/>
  <c r="K22" i="7"/>
  <c r="J22" i="7"/>
  <c r="L21" i="7"/>
  <c r="K21" i="7"/>
  <c r="J21" i="7"/>
  <c r="L11" i="7"/>
  <c r="K11" i="7"/>
  <c r="J11" i="7"/>
  <c r="L10" i="7"/>
  <c r="K10" i="7"/>
  <c r="J10" i="7"/>
  <c r="L9" i="7"/>
  <c r="K9" i="7"/>
  <c r="J9" i="7"/>
  <c r="L7" i="7"/>
  <c r="K7" i="7"/>
  <c r="J7" i="7"/>
  <c r="L6" i="7"/>
  <c r="K6" i="7"/>
  <c r="J6" i="7"/>
  <c r="L5" i="7"/>
  <c r="K5" i="7"/>
  <c r="J5" i="7"/>
  <c r="J56" i="1"/>
  <c r="I56" i="1"/>
  <c r="H56" i="1"/>
  <c r="G56" i="1"/>
  <c r="F56" i="1"/>
  <c r="J55" i="1"/>
  <c r="I55" i="1"/>
  <c r="H55" i="1"/>
  <c r="G55" i="1"/>
  <c r="F55" i="1"/>
  <c r="J56" i="5"/>
  <c r="I56" i="5"/>
  <c r="H56" i="5"/>
  <c r="G56" i="5"/>
  <c r="F56" i="5"/>
  <c r="J55" i="5"/>
  <c r="I55" i="5"/>
  <c r="H55" i="5"/>
  <c r="G55" i="5"/>
  <c r="F55" i="5"/>
  <c r="M55" i="6"/>
  <c r="M52" i="6"/>
  <c r="L52" i="6"/>
  <c r="K52" i="6"/>
  <c r="M51" i="6"/>
  <c r="L51" i="6"/>
  <c r="K51" i="6"/>
  <c r="M50" i="6"/>
  <c r="L50" i="6"/>
  <c r="K50" i="6"/>
  <c r="M48" i="6"/>
  <c r="L48" i="6"/>
  <c r="K48" i="6"/>
  <c r="M47" i="6"/>
  <c r="L47" i="6"/>
  <c r="K47" i="6"/>
  <c r="M46" i="6"/>
  <c r="L46" i="6"/>
  <c r="K46" i="6"/>
  <c r="M44" i="6"/>
  <c r="L44" i="6"/>
  <c r="K44" i="6"/>
  <c r="M43" i="6"/>
  <c r="L43" i="6"/>
  <c r="K43" i="6"/>
  <c r="M42" i="6"/>
  <c r="L42" i="6"/>
  <c r="K42" i="6"/>
  <c r="M38" i="6"/>
  <c r="L38" i="6"/>
  <c r="K38" i="6"/>
  <c r="M37" i="6"/>
  <c r="L37" i="6"/>
  <c r="K37" i="6"/>
  <c r="M36" i="6"/>
  <c r="L36" i="6"/>
  <c r="K36" i="6"/>
  <c r="M34" i="6"/>
  <c r="L34" i="6"/>
  <c r="K34" i="6"/>
  <c r="M33" i="6"/>
  <c r="L33" i="6"/>
  <c r="K33" i="6"/>
  <c r="M32" i="6"/>
  <c r="L32" i="6"/>
  <c r="K32" i="6"/>
  <c r="M30" i="6"/>
  <c r="L30" i="6"/>
  <c r="K30" i="6"/>
  <c r="M29" i="6"/>
  <c r="L29" i="6"/>
  <c r="K29" i="6"/>
  <c r="M28" i="6"/>
  <c r="L28" i="6"/>
  <c r="K28" i="6"/>
  <c r="M26" i="6"/>
  <c r="L26" i="6"/>
  <c r="K26" i="6"/>
  <c r="M25" i="6"/>
  <c r="L25" i="6"/>
  <c r="K25" i="6"/>
  <c r="M24" i="6"/>
  <c r="L24" i="6"/>
  <c r="K24" i="6"/>
  <c r="M22" i="6"/>
  <c r="L22" i="6"/>
  <c r="K22" i="6"/>
  <c r="M21" i="6"/>
  <c r="L21" i="6"/>
  <c r="K21" i="6"/>
  <c r="M20" i="6"/>
  <c r="L20" i="6"/>
  <c r="K20" i="6"/>
  <c r="M18" i="6"/>
  <c r="L18" i="6"/>
  <c r="K18" i="6"/>
  <c r="M17" i="6"/>
  <c r="L17" i="6"/>
  <c r="K17" i="6"/>
  <c r="M16" i="6"/>
  <c r="L16" i="6"/>
  <c r="K16" i="6"/>
  <c r="M14" i="6"/>
  <c r="L14" i="6"/>
  <c r="K14" i="6"/>
  <c r="M13" i="6"/>
  <c r="L13" i="6"/>
  <c r="K13" i="6"/>
  <c r="M12" i="6"/>
  <c r="L12" i="6"/>
  <c r="K12" i="6"/>
  <c r="M8" i="6"/>
  <c r="L8" i="6"/>
  <c r="K8" i="6"/>
  <c r="M7" i="6"/>
  <c r="L7" i="6"/>
  <c r="K7" i="6"/>
  <c r="M6" i="6"/>
  <c r="L6" i="6"/>
  <c r="L55" i="6" s="1"/>
  <c r="K6" i="6"/>
  <c r="M4" i="6"/>
  <c r="L4" i="6"/>
  <c r="K4" i="6"/>
  <c r="M3" i="6"/>
  <c r="L3" i="6"/>
  <c r="K3" i="6"/>
  <c r="K56" i="6" s="1"/>
  <c r="M2" i="6"/>
  <c r="M56" i="6" s="1"/>
  <c r="L2" i="6"/>
  <c r="L56" i="6" s="1"/>
  <c r="K2" i="6"/>
  <c r="J56" i="6"/>
  <c r="I56" i="6"/>
  <c r="H56" i="6"/>
  <c r="G56" i="6"/>
  <c r="F56" i="6"/>
  <c r="J55" i="6"/>
  <c r="I55" i="6"/>
  <c r="H55" i="6"/>
  <c r="G55" i="6"/>
  <c r="F55" i="6"/>
  <c r="K55" i="6" l="1"/>
  <c r="F59" i="6"/>
  <c r="F58" i="6"/>
  <c r="F60" i="6"/>
</calcChain>
</file>

<file path=xl/sharedStrings.xml><?xml version="1.0" encoding="utf-8"?>
<sst xmlns="http://schemas.openxmlformats.org/spreadsheetml/2006/main" count="505" uniqueCount="92">
  <si>
    <t>MODEL'S TYPE</t>
  </si>
  <si>
    <t>MODEL</t>
  </si>
  <si>
    <t>Transactional</t>
  </si>
  <si>
    <t>Semantic Matching</t>
  </si>
  <si>
    <t>Other</t>
  </si>
  <si>
    <t>TransE</t>
  </si>
  <si>
    <t>DistMul</t>
  </si>
  <si>
    <t xml:space="preserve"> ConvE</t>
  </si>
  <si>
    <t xml:space="preserve">only text </t>
  </si>
  <si>
    <t>NODE COMPOSITION</t>
  </si>
  <si>
    <t>"text - claim/premise"</t>
  </si>
  <si>
    <t>"text", "claim", "premise"</t>
  </si>
  <si>
    <t>RELATION VALUES</t>
  </si>
  <si>
    <t>support, attack, equivalent</t>
  </si>
  <si>
    <t>TRIPLE EXAMPLE</t>
  </si>
  <si>
    <t>"make america great again", "equivalent", "make america great again"</t>
  </si>
  <si>
    <t>"make america great again - claim", "equivalent" "make america great again - premise"</t>
  </si>
  <si>
    <t>support, attack, equivalent, is a</t>
  </si>
  <si>
    <t>"make america great again", "is a", "claim"</t>
  </si>
  <si>
    <t>"text", "speaker", "role"</t>
  </si>
  <si>
    <t>"text", "year"</t>
  </si>
  <si>
    <t>"text", "claim", "premise", "speaker", "role"</t>
  </si>
  <si>
    <t>"text", "claim", "premise", "year"</t>
  </si>
  <si>
    <t>"text", "speaker", "role", "year"</t>
  </si>
  <si>
    <t>"text", "claim", "premise", "speaker", "role", "year"</t>
  </si>
  <si>
    <t>"text - claim/premise", "speaker"</t>
  </si>
  <si>
    <t>"text + claim/premise", "year"</t>
  </si>
  <si>
    <t>support, attack, equivalent, said by, role</t>
  </si>
  <si>
    <t>support, attack, equivalent, said in</t>
  </si>
  <si>
    <t>support, attack, equivalent, said by, role, said in</t>
  </si>
  <si>
    <t>"make america great again - claim", "said by", "trump"/ "trump", "role", "president"</t>
  </si>
  <si>
    <t>"make america great again - claim", "said in", 2016</t>
  </si>
  <si>
    <t>support, attack, equivalent, is a, said by, role</t>
  </si>
  <si>
    <t>support, attack, equivalent, is a, said in</t>
  </si>
  <si>
    <t>support, attack, equivalent, is a, said by, role, said in</t>
  </si>
  <si>
    <t>"make america great again", "said in", 2016</t>
  </si>
  <si>
    <t>"make america great again", "said by", "trump"/ "trump", "role", "president"</t>
  </si>
  <si>
    <t>ADDED NODES TO GRAPH WITH ONLY TEXT AS FEATURE NODE</t>
  </si>
  <si>
    <t>ADDED NODES TO GRAPH WITH  TEXT AND NODE TYPE AS FEATURE NODE</t>
  </si>
  <si>
    <t>"text + claim/premise", "speaker", "year"</t>
  </si>
  <si>
    <t>NAME EXPERIMENT ON SERVER</t>
  </si>
  <si>
    <t>text</t>
  </si>
  <si>
    <t>text+claim</t>
  </si>
  <si>
    <t>text_claim</t>
  </si>
  <si>
    <t>text_speaker</t>
  </si>
  <si>
    <t>text_year</t>
  </si>
  <si>
    <t>text_claim_speaker</t>
  </si>
  <si>
    <t>text_claim_year</t>
  </si>
  <si>
    <t>text_speaker_year</t>
  </si>
  <si>
    <t>text_claim_speaker_year</t>
  </si>
  <si>
    <t>text+claim_speaker</t>
  </si>
  <si>
    <t>text+claim_year</t>
  </si>
  <si>
    <t>text+claim_speaker_year</t>
  </si>
  <si>
    <t>LINK PREDICTION HITS@10</t>
  </si>
  <si>
    <t>LINK DELETION HITS@10</t>
  </si>
  <si>
    <t>RELATION PREDICTION HITS@1</t>
  </si>
  <si>
    <t>TRIPLE CLASSIFICATION F1-MACRO</t>
  </si>
  <si>
    <t>RELATION CLASSIFICATION F1-MACRO</t>
  </si>
  <si>
    <t>RELATION CLASSIFICATION  F1-MACRO</t>
  </si>
  <si>
    <t>EXPLAINATION EXPERIMENT</t>
  </si>
  <si>
    <t>MAX:</t>
  </si>
  <si>
    <t>MEAN:</t>
  </si>
  <si>
    <t>WEIGHTED SUM OF LP, LP AND TC</t>
  </si>
  <si>
    <t>WEIGHTED SUM OF RP, RC</t>
  </si>
  <si>
    <t>WEIGHTED SUM OF ALL</t>
  </si>
  <si>
    <t>BEST RESULT OF 1) text_speaker_year WITH DISTMULT</t>
  </si>
  <si>
    <t>BEST RESULT OF 2) text_speaker WITH CONVE</t>
  </si>
  <si>
    <t>BEST RESULT OF 3) text_year WITH DISTMULT</t>
  </si>
  <si>
    <t>1) WEIGHTED MEAN OF MAX LP, LD, TC:</t>
  </si>
  <si>
    <t>2) WEIGHTED MEAN OF MAX RP, RC:</t>
  </si>
  <si>
    <t>3 ) WEIGHTED MEAN OF MAX OF ALL:</t>
  </si>
  <si>
    <t>special/text_speaker_year</t>
  </si>
  <si>
    <t xml:space="preserve">basic experiment without pretrained embeddings, without any special addition </t>
  </si>
  <si>
    <t>pretrained/text_speaker_year</t>
  </si>
  <si>
    <t>experiment with pretrained embeddings</t>
  </si>
  <si>
    <r>
      <t xml:space="preserve">BEST EXPERIMENT WITH LINK PREDICTION, LINK DELETION AND TRIPLE CLASSIFICATION with </t>
    </r>
    <r>
      <rPr>
        <b/>
        <i/>
        <sz val="16"/>
        <color theme="1"/>
        <rFont val="Calibri"/>
        <family val="2"/>
        <scheme val="minor"/>
      </rPr>
      <t>text_speaker_year</t>
    </r>
  </si>
  <si>
    <t>trial1/bernoulli</t>
  </si>
  <si>
    <t>experiment with pretrained embeddings and bernoulli sampler</t>
  </si>
  <si>
    <t>trial1/downsampling</t>
  </si>
  <si>
    <r>
      <t xml:space="preserve">BEST EXPERIMENT WITH RELATION PREDICTION AND RELATION CLASSIFICATION with </t>
    </r>
    <r>
      <rPr>
        <b/>
        <i/>
        <sz val="16"/>
        <color theme="1"/>
        <rFont val="Calibri"/>
        <family val="2"/>
        <scheme val="minor"/>
      </rPr>
      <t>text_speaker</t>
    </r>
  </si>
  <si>
    <t>special/text_speaker</t>
  </si>
  <si>
    <t>pretrained/text_speaker</t>
  </si>
  <si>
    <r>
      <t xml:space="preserve">BEST EXPERIMENT WITH ALL with </t>
    </r>
    <r>
      <rPr>
        <b/>
        <i/>
        <sz val="16"/>
        <color theme="1"/>
        <rFont val="Calibri"/>
        <family val="2"/>
        <scheme val="minor"/>
      </rPr>
      <t>text_year</t>
    </r>
  </si>
  <si>
    <t>special/text_year</t>
  </si>
  <si>
    <t>pretrained/text_year</t>
  </si>
  <si>
    <t>trial1/corruption_scheme</t>
  </si>
  <si>
    <t>experiment with pretrained embeddings and different corruption scheme</t>
  </si>
  <si>
    <t>experiment with pretrained embeddings, basic sampler and downsampling the major class</t>
  </si>
  <si>
    <t>experiment with pretrained embeddings, bernoulli sampler and downsampling the major class</t>
  </si>
  <si>
    <t>trial1/downsampling_basic</t>
  </si>
  <si>
    <t>trial1/downsampling_bernoulli</t>
  </si>
  <si>
    <t>experiment with  basic sampler and downsampling the major class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</si>
</sst>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00"/>
  </numFmts>
  <fonts count="6" x14ac:knownFonts="1">
    <font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i/>
      <sz val="16"/>
      <color theme="1"/>
      <name val="Calibri"/>
      <family val="2"/>
      <scheme val="minor"/>
    </font>
    <font>
      <sz val="16"/>
      <color theme="1"/>
      <name val="Calibri"/>
      <family val="2"/>
    </font>
    <font>
      <b/>
      <i/>
      <sz val="16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BED7EE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1">
    <xf numFmtId="0" fontId="0" fillId="0" borderId="0" xfId="0"/>
    <xf numFmtId="0" fontId="2" fillId="0" borderId="0" xfId="0" applyFont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1" fillId="3" borderId="0" xfId="0" applyFont="1" applyFill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11" fontId="2" fillId="0" borderId="0" xfId="0" applyNumberFormat="1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164" fontId="2" fillId="0" borderId="0" xfId="0" applyNumberFormat="1" applyFont="1" applyAlignment="1">
      <alignment horizontal="center" vertical="center"/>
    </xf>
    <xf numFmtId="164" fontId="1" fillId="2" borderId="2" xfId="0" applyNumberFormat="1" applyFont="1" applyFill="1" applyBorder="1" applyAlignment="1">
      <alignment horizontal="center" vertical="center" wrapText="1"/>
    </xf>
    <xf numFmtId="164" fontId="2" fillId="3" borderId="0" xfId="0" applyNumberFormat="1" applyFont="1" applyFill="1" applyAlignment="1">
      <alignment horizontal="center" vertical="center"/>
    </xf>
    <xf numFmtId="164" fontId="4" fillId="0" borderId="0" xfId="0" applyNumberFormat="1" applyFont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5" fillId="4" borderId="0" xfId="0" applyFont="1" applyFill="1" applyAlignment="1">
      <alignment horizontal="center" vertical="center" wrapText="1"/>
    </xf>
    <xf numFmtId="164" fontId="1" fillId="4" borderId="0" xfId="0" applyNumberFormat="1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 wrapText="1"/>
    </xf>
    <xf numFmtId="164" fontId="1" fillId="5" borderId="0" xfId="0" applyNumberFormat="1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 wrapText="1"/>
    </xf>
    <xf numFmtId="164" fontId="1" fillId="2" borderId="0" xfId="0" applyNumberFormat="1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 wrapText="1"/>
    </xf>
    <xf numFmtId="0" fontId="2" fillId="6" borderId="0" xfId="0" applyFont="1" applyFill="1" applyAlignment="1">
      <alignment horizontal="center" vertical="center"/>
    </xf>
    <xf numFmtId="164" fontId="2" fillId="6" borderId="0" xfId="0" applyNumberFormat="1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 wrapText="1"/>
    </xf>
    <xf numFmtId="164" fontId="2" fillId="7" borderId="0" xfId="0" applyNumberFormat="1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 wrapText="1"/>
    </xf>
    <xf numFmtId="0" fontId="2" fillId="7" borderId="0" xfId="0" applyFont="1" applyFill="1" applyAlignment="1">
      <alignment horizontal="center" vertical="center"/>
    </xf>
    <xf numFmtId="164" fontId="1" fillId="7" borderId="0" xfId="0" applyNumberFormat="1" applyFont="1" applyFill="1" applyAlignment="1">
      <alignment horizontal="center" vertical="center"/>
    </xf>
    <xf numFmtId="164" fontId="1" fillId="6" borderId="0" xfId="0" applyNumberFormat="1" applyFont="1" applyFill="1" applyAlignment="1">
      <alignment horizontal="center" vertical="center"/>
    </xf>
    <xf numFmtId="164" fontId="1" fillId="8" borderId="0" xfId="0" applyNumberFormat="1" applyFont="1" applyFill="1" applyAlignment="1">
      <alignment horizontal="center" vertical="center"/>
    </xf>
    <xf numFmtId="164" fontId="2" fillId="8" borderId="0" xfId="0" applyNumberFormat="1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 wrapText="1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vertical="center"/>
    </xf>
    <xf numFmtId="164" fontId="2" fillId="9" borderId="0" xfId="0" applyNumberFormat="1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 wrapText="1"/>
    </xf>
    <xf numFmtId="0" fontId="2" fillId="9" borderId="0" xfId="0" applyFont="1" applyFill="1" applyAlignment="1">
      <alignment horizontal="center" vertical="center"/>
    </xf>
    <xf numFmtId="0" fontId="3" fillId="9" borderId="0" xfId="0" applyFont="1" applyFill="1" applyAlignment="1">
      <alignment horizontal="center" vertical="center" wrapText="1"/>
    </xf>
    <xf numFmtId="0" fontId="5" fillId="10" borderId="0" xfId="0" applyFont="1" applyFill="1" applyAlignment="1">
      <alignment horizontal="center" vertical="center" wrapText="1"/>
    </xf>
    <xf numFmtId="164" fontId="1" fillId="10" borderId="0" xfId="0" applyNumberFormat="1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 wrapText="1"/>
    </xf>
    <xf numFmtId="0" fontId="2" fillId="10" borderId="0" xfId="0" applyFont="1" applyFill="1" applyAlignment="1">
      <alignment horizontal="center" vertical="center"/>
    </xf>
    <xf numFmtId="0" fontId="5" fillId="11" borderId="0" xfId="0" applyFont="1" applyFill="1" applyAlignment="1">
      <alignment horizontal="center" vertical="center" wrapText="1"/>
    </xf>
    <xf numFmtId="164" fontId="1" fillId="11" borderId="0" xfId="0" applyNumberFormat="1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 wrapText="1"/>
    </xf>
    <xf numFmtId="0" fontId="2" fillId="11" borderId="0" xfId="0" applyFont="1" applyFill="1" applyAlignment="1">
      <alignment horizontal="center" vertical="center"/>
    </xf>
    <xf numFmtId="0" fontId="1" fillId="2" borderId="0" xfId="0" applyFont="1" applyFill="1" applyAlignment="1">
      <alignment vertical="center"/>
    </xf>
    <xf numFmtId="0" fontId="1" fillId="0" borderId="0" xfId="0" applyFont="1" applyAlignment="1">
      <alignment vertical="center"/>
    </xf>
    <xf numFmtId="164" fontId="1" fillId="2" borderId="0" xfId="0" applyNumberFormat="1" applyFont="1" applyFill="1" applyAlignment="1">
      <alignment horizontal="center" vertical="center" wrapText="1"/>
    </xf>
    <xf numFmtId="0" fontId="2" fillId="0" borderId="0" xfId="0" applyFont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0" fontId="1" fillId="11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" fillId="10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1" fillId="8" borderId="0" xfId="0" applyFont="1" applyFill="1" applyAlignment="1">
      <alignment horizontal="center" vertical="center"/>
    </xf>
    <xf numFmtId="0" fontId="1" fillId="9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</cellXfs>
  <cellStyles count="1">
    <cellStyle name="Normale" xfId="0" builtinId="0"/>
  </cellStyles>
  <dxfs count="0"/>
  <tableStyles count="0" defaultTableStyle="TableStyleMedium2" defaultPivotStyle="PivotStyleLight16"/>
  <colors>
    <mruColors>
      <color rgb="FFFFE699"/>
      <color rgb="FFBED7E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8262D8-2430-9140-9A7B-2FDAF8B91602}">
  <dimension ref="A1:L56"/>
  <sheetViews>
    <sheetView topLeftCell="A11" zoomScaleNormal="100" workbookViewId="0">
      <selection activeCell="E63" sqref="E63"/>
    </sheetView>
  </sheetViews>
  <sheetFormatPr baseColWidth="10" defaultColWidth="51.33203125" defaultRowHeight="21" x14ac:dyDescent="0.2"/>
  <cols>
    <col min="1" max="1" width="26.1640625" style="1" customWidth="1"/>
    <col min="2" max="2" width="17.6640625" style="1" customWidth="1"/>
    <col min="3" max="3" width="27.83203125" style="1" customWidth="1"/>
    <col min="4" max="4" width="42.1640625" style="4" customWidth="1"/>
    <col min="5" max="5" width="45.6640625" style="4" customWidth="1"/>
    <col min="6" max="6" width="24" style="12" customWidth="1"/>
    <col min="7" max="7" width="23.1640625" style="12" customWidth="1"/>
    <col min="8" max="8" width="27.5" style="12" customWidth="1"/>
    <col min="9" max="9" width="27.33203125" style="12" customWidth="1"/>
    <col min="10" max="10" width="31.33203125" style="12" customWidth="1"/>
    <col min="11" max="11" width="68.33203125" style="3" customWidth="1"/>
    <col min="12" max="16384" width="51.33203125" style="1"/>
  </cols>
  <sheetData>
    <row r="1" spans="1:12" s="6" customFormat="1" ht="66" x14ac:dyDescent="0.2">
      <c r="A1" s="6" t="s">
        <v>0</v>
      </c>
      <c r="B1" s="6" t="s">
        <v>1</v>
      </c>
      <c r="C1" s="7" t="s">
        <v>40</v>
      </c>
      <c r="D1" s="7" t="s">
        <v>9</v>
      </c>
      <c r="E1" s="7" t="s">
        <v>12</v>
      </c>
      <c r="F1" s="13" t="s">
        <v>53</v>
      </c>
      <c r="G1" s="13" t="s">
        <v>54</v>
      </c>
      <c r="H1" s="13" t="s">
        <v>55</v>
      </c>
      <c r="I1" s="13" t="s">
        <v>56</v>
      </c>
      <c r="J1" s="13" t="s">
        <v>58</v>
      </c>
      <c r="K1" s="7" t="s">
        <v>14</v>
      </c>
      <c r="L1" s="7"/>
    </row>
    <row r="2" spans="1:12" x14ac:dyDescent="0.2">
      <c r="A2" s="1" t="s">
        <v>2</v>
      </c>
      <c r="B2" s="1" t="s">
        <v>5</v>
      </c>
      <c r="C2" s="62" t="s">
        <v>41</v>
      </c>
      <c r="D2" s="59" t="s">
        <v>8</v>
      </c>
      <c r="E2" s="59" t="s">
        <v>13</v>
      </c>
      <c r="F2" s="12">
        <v>8.4372003799999998E-2</v>
      </c>
      <c r="G2" s="12">
        <v>2.1093001000000002E-3</v>
      </c>
      <c r="H2" s="12">
        <v>0.3766059444</v>
      </c>
      <c r="I2" s="12">
        <v>0.54643480580000003</v>
      </c>
      <c r="J2" s="12">
        <v>0.51636704079999995</v>
      </c>
      <c r="K2" s="57" t="s">
        <v>15</v>
      </c>
    </row>
    <row r="3" spans="1:12" x14ac:dyDescent="0.2">
      <c r="A3" s="1" t="s">
        <v>3</v>
      </c>
      <c r="B3" s="1" t="s">
        <v>6</v>
      </c>
      <c r="C3" s="60"/>
      <c r="D3" s="56"/>
      <c r="E3" s="56"/>
      <c r="F3" s="12">
        <v>5.23489933E-2</v>
      </c>
      <c r="G3" s="12">
        <v>1.6299137E-3</v>
      </c>
      <c r="H3" s="12">
        <v>0.34285714290000002</v>
      </c>
      <c r="I3" s="12">
        <v>0.51505644009999996</v>
      </c>
      <c r="J3" s="12">
        <v>0.49172142549999998</v>
      </c>
      <c r="K3" s="58"/>
    </row>
    <row r="4" spans="1:12" x14ac:dyDescent="0.2">
      <c r="A4" s="1" t="s">
        <v>4</v>
      </c>
      <c r="B4" s="1" t="s">
        <v>7</v>
      </c>
      <c r="C4" s="60"/>
      <c r="D4" s="56"/>
      <c r="E4" s="56"/>
      <c r="F4" s="12">
        <v>3.73921381E-2</v>
      </c>
      <c r="G4" s="12">
        <v>3.4515819999999999E-3</v>
      </c>
      <c r="H4" s="12">
        <v>0.1369127517</v>
      </c>
      <c r="I4" s="12">
        <v>0.54488705100000001</v>
      </c>
      <c r="J4" s="12">
        <v>0.44867621930000001</v>
      </c>
      <c r="K4" s="58"/>
    </row>
    <row r="6" spans="1:12" x14ac:dyDescent="0.2">
      <c r="A6" s="1" t="s">
        <v>2</v>
      </c>
      <c r="B6" s="1" t="s">
        <v>5</v>
      </c>
      <c r="C6" s="60" t="s">
        <v>42</v>
      </c>
      <c r="D6" s="56" t="s">
        <v>10</v>
      </c>
      <c r="E6" s="56" t="s">
        <v>13</v>
      </c>
      <c r="F6" s="12">
        <v>4.6273232400000003E-2</v>
      </c>
      <c r="G6" s="12">
        <v>2.9699176000000001E-3</v>
      </c>
      <c r="H6" s="12">
        <v>0.32420003829999999</v>
      </c>
      <c r="I6" s="12">
        <v>0.51285961440000005</v>
      </c>
      <c r="J6" s="12">
        <v>0.49915964429999998</v>
      </c>
      <c r="K6" s="58" t="s">
        <v>16</v>
      </c>
    </row>
    <row r="7" spans="1:12" x14ac:dyDescent="0.2">
      <c r="A7" s="1" t="s">
        <v>3</v>
      </c>
      <c r="B7" s="1" t="s">
        <v>6</v>
      </c>
      <c r="C7" s="60"/>
      <c r="D7" s="56"/>
      <c r="E7" s="56"/>
      <c r="F7" s="12">
        <v>2.7399884999999999E-2</v>
      </c>
      <c r="G7" s="12">
        <v>3.9279555000000001E-3</v>
      </c>
      <c r="H7" s="12">
        <v>0.20981030849999999</v>
      </c>
      <c r="I7" s="12">
        <v>0.5043243369</v>
      </c>
      <c r="J7" s="12">
        <v>0.48493602559999999</v>
      </c>
      <c r="K7" s="58"/>
    </row>
    <row r="8" spans="1:12" x14ac:dyDescent="0.2">
      <c r="A8" s="1" t="s">
        <v>4</v>
      </c>
      <c r="B8" s="1" t="s">
        <v>7</v>
      </c>
      <c r="C8" s="60"/>
      <c r="D8" s="56"/>
      <c r="E8" s="56"/>
      <c r="F8" s="12">
        <v>2.4717378799999998E-2</v>
      </c>
      <c r="G8" s="12">
        <v>6.8978731000000001E-3</v>
      </c>
      <c r="H8" s="12">
        <v>8.8905920700000002E-2</v>
      </c>
      <c r="I8" s="12">
        <v>0.51459009440000003</v>
      </c>
      <c r="J8" s="12">
        <v>0.43282600290000001</v>
      </c>
      <c r="K8" s="58"/>
    </row>
    <row r="10" spans="1:12" s="2" customFormat="1" x14ac:dyDescent="0.2">
      <c r="A10" s="61" t="s">
        <v>37</v>
      </c>
      <c r="B10" s="61"/>
      <c r="C10" s="61"/>
      <c r="D10" s="61"/>
      <c r="E10" s="5"/>
      <c r="F10" s="14"/>
      <c r="G10" s="14"/>
      <c r="H10" s="14"/>
      <c r="I10" s="14"/>
      <c r="J10" s="14"/>
      <c r="K10" s="5"/>
    </row>
    <row r="12" spans="1:12" x14ac:dyDescent="0.2">
      <c r="A12" s="1" t="s">
        <v>2</v>
      </c>
      <c r="B12" s="1" t="s">
        <v>5</v>
      </c>
      <c r="C12" s="60" t="s">
        <v>43</v>
      </c>
      <c r="D12" s="56" t="s">
        <v>11</v>
      </c>
      <c r="E12" s="56" t="s">
        <v>17</v>
      </c>
      <c r="F12" s="12">
        <v>0.32182769280000001</v>
      </c>
      <c r="G12" s="12">
        <v>0.25021795990000001</v>
      </c>
      <c r="H12" s="12">
        <v>0.40326543549999999</v>
      </c>
      <c r="I12" s="12">
        <v>0.47915581369999999</v>
      </c>
      <c r="J12" s="12">
        <v>0.45356946819999999</v>
      </c>
      <c r="K12" s="58" t="s">
        <v>18</v>
      </c>
    </row>
    <row r="13" spans="1:12" x14ac:dyDescent="0.2">
      <c r="A13" s="1" t="s">
        <v>3</v>
      </c>
      <c r="B13" s="1" t="s">
        <v>6</v>
      </c>
      <c r="C13" s="60"/>
      <c r="D13" s="56"/>
      <c r="E13" s="56"/>
      <c r="F13" s="12">
        <v>5.4569232000000002E-2</v>
      </c>
      <c r="G13" s="12">
        <v>7.2124909999999997E-3</v>
      </c>
      <c r="H13" s="12">
        <v>0.16739319969999999</v>
      </c>
      <c r="I13" s="12">
        <v>0.39316097770000002</v>
      </c>
      <c r="J13" s="12">
        <v>0.2490125493</v>
      </c>
      <c r="K13" s="58"/>
    </row>
    <row r="14" spans="1:12" x14ac:dyDescent="0.2">
      <c r="A14" s="1" t="s">
        <v>4</v>
      </c>
      <c r="B14" s="1" t="s">
        <v>7</v>
      </c>
      <c r="C14" s="60"/>
      <c r="D14" s="56"/>
      <c r="E14" s="56"/>
      <c r="F14" s="12">
        <v>0.2933740192</v>
      </c>
      <c r="G14" s="12">
        <v>0.29420622969999999</v>
      </c>
      <c r="H14" s="12">
        <v>1.05413331E-2</v>
      </c>
      <c r="I14" s="12">
        <v>0.59562815150000004</v>
      </c>
      <c r="J14" s="12">
        <v>0.33911636109999999</v>
      </c>
      <c r="K14" s="58"/>
    </row>
    <row r="16" spans="1:12" x14ac:dyDescent="0.2">
      <c r="A16" s="1" t="s">
        <v>2</v>
      </c>
      <c r="B16" s="1" t="s">
        <v>5</v>
      </c>
      <c r="C16" s="60" t="s">
        <v>44</v>
      </c>
      <c r="D16" s="56" t="s">
        <v>19</v>
      </c>
      <c r="E16" s="56" t="s">
        <v>27</v>
      </c>
      <c r="F16" s="12">
        <v>0.31562554079999999</v>
      </c>
      <c r="G16" s="12">
        <v>0.21534867630000001</v>
      </c>
      <c r="H16" s="12">
        <v>0.53452154350000003</v>
      </c>
      <c r="I16" s="12">
        <v>0.84286526129999995</v>
      </c>
      <c r="J16" s="12">
        <v>0.46862206229999998</v>
      </c>
      <c r="K16" s="58" t="s">
        <v>36</v>
      </c>
    </row>
    <row r="17" spans="1:11" x14ac:dyDescent="0.2">
      <c r="A17" s="1" t="s">
        <v>3</v>
      </c>
      <c r="B17" s="1" t="s">
        <v>6</v>
      </c>
      <c r="C17" s="60"/>
      <c r="D17" s="56"/>
      <c r="E17" s="56"/>
      <c r="F17" s="12">
        <v>0.2220972487</v>
      </c>
      <c r="G17" s="12">
        <v>1.9164215200000001E-2</v>
      </c>
      <c r="H17" s="12">
        <v>0.43770548539999998</v>
      </c>
      <c r="I17" s="12">
        <v>0.68263091610000004</v>
      </c>
      <c r="J17" s="12">
        <v>0.61463971539999995</v>
      </c>
      <c r="K17" s="58"/>
    </row>
    <row r="18" spans="1:11" x14ac:dyDescent="0.2">
      <c r="A18" s="1" t="s">
        <v>4</v>
      </c>
      <c r="B18" s="1" t="s">
        <v>7</v>
      </c>
      <c r="C18" s="60"/>
      <c r="D18" s="56"/>
      <c r="E18" s="56"/>
      <c r="F18" s="12">
        <v>0.12510815019999999</v>
      </c>
      <c r="G18" s="12">
        <v>0.27396608410000001</v>
      </c>
      <c r="H18" s="12">
        <v>7.7608582800000006E-2</v>
      </c>
      <c r="I18" s="12">
        <v>0.6107635682</v>
      </c>
      <c r="J18" s="12">
        <v>0.40298454760000002</v>
      </c>
      <c r="K18" s="58"/>
    </row>
    <row r="20" spans="1:11" x14ac:dyDescent="0.2">
      <c r="A20" s="1" t="s">
        <v>2</v>
      </c>
      <c r="B20" s="1" t="s">
        <v>5</v>
      </c>
      <c r="C20" s="60" t="s">
        <v>45</v>
      </c>
      <c r="D20" s="56" t="s">
        <v>20</v>
      </c>
      <c r="E20" s="56" t="s">
        <v>28</v>
      </c>
      <c r="F20" s="12">
        <v>0.40934262240000002</v>
      </c>
      <c r="G20" s="12">
        <v>0.22999285459999999</v>
      </c>
      <c r="H20" s="12">
        <v>0.49758842440000001</v>
      </c>
      <c r="I20" s="12">
        <v>0.86018151249999997</v>
      </c>
      <c r="J20" s="12">
        <v>0.42112340529999998</v>
      </c>
      <c r="K20" s="58" t="s">
        <v>35</v>
      </c>
    </row>
    <row r="21" spans="1:11" x14ac:dyDescent="0.2">
      <c r="A21" s="1" t="s">
        <v>3</v>
      </c>
      <c r="B21" s="1" t="s">
        <v>6</v>
      </c>
      <c r="C21" s="60"/>
      <c r="D21" s="56"/>
      <c r="E21" s="56"/>
      <c r="F21" s="12">
        <v>0.28648624509999998</v>
      </c>
      <c r="G21" s="12">
        <v>3.9299749999999996E-3</v>
      </c>
      <c r="H21" s="12">
        <v>0.58958556630000003</v>
      </c>
      <c r="I21" s="12">
        <v>0.79611147660000003</v>
      </c>
      <c r="J21" s="20">
        <v>0.71830903779999999</v>
      </c>
      <c r="K21" s="58"/>
    </row>
    <row r="22" spans="1:11" x14ac:dyDescent="0.2">
      <c r="A22" s="1" t="s">
        <v>4</v>
      </c>
      <c r="B22" s="1" t="s">
        <v>7</v>
      </c>
      <c r="C22" s="60"/>
      <c r="D22" s="56"/>
      <c r="E22" s="56"/>
      <c r="F22" s="12">
        <v>4.4658810000000002E-4</v>
      </c>
      <c r="G22" s="12">
        <v>8.9317610000000001E-4</v>
      </c>
      <c r="I22" s="12">
        <v>0.62501060450000001</v>
      </c>
      <c r="J22" s="12">
        <v>0.41851161510000001</v>
      </c>
      <c r="K22" s="58"/>
    </row>
    <row r="24" spans="1:11" x14ac:dyDescent="0.2">
      <c r="A24" s="1" t="s">
        <v>2</v>
      </c>
      <c r="B24" s="1" t="s">
        <v>5</v>
      </c>
      <c r="C24" s="60" t="s">
        <v>46</v>
      </c>
      <c r="D24" s="56" t="s">
        <v>21</v>
      </c>
      <c r="E24" s="56" t="s">
        <v>32</v>
      </c>
      <c r="F24" s="12">
        <v>0.3522151899</v>
      </c>
      <c r="G24" s="12">
        <v>0.21751054850000001</v>
      </c>
      <c r="H24" s="12">
        <v>0.3972046414</v>
      </c>
      <c r="I24" s="12">
        <v>0.66857872799999996</v>
      </c>
      <c r="J24" s="12">
        <v>0.553198258</v>
      </c>
    </row>
    <row r="25" spans="1:11" x14ac:dyDescent="0.2">
      <c r="A25" s="1" t="s">
        <v>3</v>
      </c>
      <c r="B25" s="1" t="s">
        <v>6</v>
      </c>
      <c r="C25" s="60"/>
      <c r="D25" s="56"/>
      <c r="E25" s="56"/>
      <c r="F25" s="12">
        <v>0.1240506329</v>
      </c>
      <c r="G25" s="12">
        <v>9.2827003999999998E-3</v>
      </c>
      <c r="H25" s="12">
        <v>0.29720464140000002</v>
      </c>
      <c r="I25" s="12">
        <v>0.57148156900000002</v>
      </c>
      <c r="J25" s="12">
        <v>0.27348452600000001</v>
      </c>
    </row>
    <row r="26" spans="1:11" x14ac:dyDescent="0.2">
      <c r="A26" s="1" t="s">
        <v>4</v>
      </c>
      <c r="B26" s="1" t="s">
        <v>7</v>
      </c>
      <c r="C26" s="60"/>
      <c r="D26" s="56"/>
      <c r="E26" s="56"/>
      <c r="F26" s="12">
        <v>0.13367616030000001</v>
      </c>
      <c r="G26" s="12">
        <v>0.19485759499999999</v>
      </c>
      <c r="H26" s="12">
        <v>0.23855485230000001</v>
      </c>
      <c r="I26" s="12">
        <v>0.57330833420000005</v>
      </c>
      <c r="J26" s="12">
        <v>0.31188195969999999</v>
      </c>
    </row>
    <row r="28" spans="1:11" x14ac:dyDescent="0.2">
      <c r="A28" s="1" t="s">
        <v>2</v>
      </c>
      <c r="B28" s="1" t="s">
        <v>5</v>
      </c>
      <c r="C28" s="60" t="s">
        <v>47</v>
      </c>
      <c r="D28" s="56" t="s">
        <v>22</v>
      </c>
      <c r="E28" s="56" t="s">
        <v>33</v>
      </c>
      <c r="F28" s="12">
        <v>0.43023443379999998</v>
      </c>
      <c r="G28" s="12">
        <v>0.192117432</v>
      </c>
      <c r="H28" s="12">
        <v>0.38321324870000001</v>
      </c>
      <c r="I28" s="12">
        <v>0.57140164410000005</v>
      </c>
      <c r="J28" s="12">
        <v>0.48018954860000002</v>
      </c>
    </row>
    <row r="29" spans="1:11" x14ac:dyDescent="0.2">
      <c r="A29" s="1" t="s">
        <v>3</v>
      </c>
      <c r="B29" s="1" t="s">
        <v>6</v>
      </c>
      <c r="C29" s="60"/>
      <c r="D29" s="56"/>
      <c r="E29" s="56"/>
      <c r="F29" s="12">
        <v>0.20128508440000001</v>
      </c>
      <c r="G29" s="12">
        <v>5.6457683999999999E-3</v>
      </c>
      <c r="H29" s="12">
        <v>0.3749865577</v>
      </c>
      <c r="I29" s="12">
        <v>0.64851705189999997</v>
      </c>
      <c r="J29" s="12">
        <v>0.34708162910000001</v>
      </c>
    </row>
    <row r="30" spans="1:11" x14ac:dyDescent="0.2">
      <c r="A30" s="1" t="s">
        <v>4</v>
      </c>
      <c r="B30" s="1" t="s">
        <v>7</v>
      </c>
      <c r="C30" s="60"/>
      <c r="D30" s="56"/>
      <c r="E30" s="56"/>
      <c r="F30" s="12">
        <v>0.1974137004</v>
      </c>
      <c r="G30" s="12">
        <v>0.1558232068</v>
      </c>
      <c r="H30" s="12">
        <v>0.42434670390000001</v>
      </c>
      <c r="I30" s="12">
        <v>0.55498300369999998</v>
      </c>
      <c r="J30" s="12">
        <v>0.40242775050000001</v>
      </c>
    </row>
    <row r="32" spans="1:11" x14ac:dyDescent="0.2">
      <c r="A32" s="1" t="s">
        <v>2</v>
      </c>
      <c r="B32" s="1" t="s">
        <v>5</v>
      </c>
      <c r="C32" s="60" t="s">
        <v>48</v>
      </c>
      <c r="D32" s="56" t="s">
        <v>23</v>
      </c>
      <c r="E32" s="56" t="s">
        <v>29</v>
      </c>
      <c r="F32" s="20">
        <v>0.48067164600000001</v>
      </c>
      <c r="G32" s="12">
        <v>1.7532356400000001E-2</v>
      </c>
      <c r="H32" s="12">
        <v>0.74177547180000003</v>
      </c>
      <c r="I32" s="20">
        <v>0.92762878579999997</v>
      </c>
      <c r="J32" s="12">
        <v>0.50945505889999998</v>
      </c>
    </row>
    <row r="33" spans="1:11" x14ac:dyDescent="0.2">
      <c r="A33" s="1" t="s">
        <v>3</v>
      </c>
      <c r="B33" s="1" t="s">
        <v>6</v>
      </c>
      <c r="C33" s="60"/>
      <c r="D33" s="56"/>
      <c r="E33" s="56"/>
      <c r="F33" s="12">
        <v>0.4661326187</v>
      </c>
      <c r="G33" s="12">
        <v>2.8023262399999999E-2</v>
      </c>
      <c r="H33" s="12">
        <v>0.68310622040000002</v>
      </c>
      <c r="I33" s="12">
        <v>0.91064647099999996</v>
      </c>
      <c r="J33" s="12">
        <v>0.69192758759999995</v>
      </c>
    </row>
    <row r="34" spans="1:11" x14ac:dyDescent="0.2">
      <c r="A34" s="1" t="s">
        <v>4</v>
      </c>
      <c r="B34" s="1" t="s">
        <v>7</v>
      </c>
      <c r="C34" s="60"/>
      <c r="D34" s="56"/>
      <c r="E34" s="56"/>
      <c r="F34" s="12">
        <v>2.2806319999999999E-4</v>
      </c>
      <c r="G34" s="12">
        <v>6.6708478E-3</v>
      </c>
      <c r="H34" s="12">
        <v>2.8507899999999999E-4</v>
      </c>
      <c r="I34" s="12">
        <v>0.60886531479999995</v>
      </c>
      <c r="J34" s="12">
        <v>0.25644525289999998</v>
      </c>
    </row>
    <row r="36" spans="1:11" x14ac:dyDescent="0.2">
      <c r="A36" s="1" t="s">
        <v>2</v>
      </c>
      <c r="B36" s="1" t="s">
        <v>5</v>
      </c>
      <c r="C36" s="60" t="s">
        <v>49</v>
      </c>
      <c r="D36" s="56" t="s">
        <v>24</v>
      </c>
      <c r="E36" s="56" t="s">
        <v>34</v>
      </c>
      <c r="F36" s="12">
        <v>0.35357443570000002</v>
      </c>
      <c r="G36" s="12">
        <v>0.24770458279999999</v>
      </c>
      <c r="H36" s="20">
        <v>0.78124373520000001</v>
      </c>
      <c r="I36" s="12">
        <v>0.91809339690000002</v>
      </c>
      <c r="J36" s="12">
        <v>0.57959106510000002</v>
      </c>
    </row>
    <row r="37" spans="1:11" x14ac:dyDescent="0.2">
      <c r="A37" s="1" t="s">
        <v>3</v>
      </c>
      <c r="B37" s="1" t="s">
        <v>6</v>
      </c>
      <c r="C37" s="60"/>
      <c r="D37" s="56"/>
      <c r="E37" s="56"/>
      <c r="F37" s="12">
        <v>0.29922617379999999</v>
      </c>
      <c r="G37" s="12">
        <v>9.7028988999999996E-3</v>
      </c>
      <c r="H37" s="12">
        <v>0.49821578929999999</v>
      </c>
      <c r="I37" s="12">
        <v>0.76520140349999999</v>
      </c>
      <c r="J37" s="12">
        <v>0.55784537280000002</v>
      </c>
    </row>
    <row r="38" spans="1:11" x14ac:dyDescent="0.2">
      <c r="A38" s="1" t="s">
        <v>4</v>
      </c>
      <c r="B38" s="1" t="s">
        <v>7</v>
      </c>
      <c r="C38" s="60"/>
      <c r="D38" s="56"/>
      <c r="E38" s="56"/>
      <c r="F38" s="12">
        <v>0.1553265707</v>
      </c>
      <c r="G38" s="12">
        <v>0.18351309090000001</v>
      </c>
      <c r="H38" s="12">
        <v>8.5040695999999999E-2</v>
      </c>
      <c r="I38" s="12">
        <v>0.54136288020000001</v>
      </c>
      <c r="J38" s="12">
        <v>0.28370905870000002</v>
      </c>
    </row>
    <row r="40" spans="1:11" s="2" customFormat="1" x14ac:dyDescent="0.2">
      <c r="A40" s="61" t="s">
        <v>38</v>
      </c>
      <c r="B40" s="61"/>
      <c r="C40" s="61"/>
      <c r="D40" s="61"/>
      <c r="E40" s="5"/>
      <c r="F40" s="14"/>
      <c r="G40" s="14"/>
      <c r="H40" s="14"/>
      <c r="I40" s="14"/>
      <c r="J40" s="14"/>
      <c r="K40" s="5"/>
    </row>
    <row r="42" spans="1:11" x14ac:dyDescent="0.2">
      <c r="A42" s="1" t="s">
        <v>2</v>
      </c>
      <c r="B42" s="1" t="s">
        <v>5</v>
      </c>
      <c r="C42" s="60" t="s">
        <v>50</v>
      </c>
      <c r="D42" s="56" t="s">
        <v>25</v>
      </c>
      <c r="E42" s="56" t="s">
        <v>27</v>
      </c>
      <c r="F42" s="12">
        <v>0.2476532303</v>
      </c>
      <c r="G42" s="12">
        <v>0.1847440246</v>
      </c>
      <c r="H42" s="12">
        <v>0.59296363490000004</v>
      </c>
      <c r="I42" s="12">
        <v>0.78190933159999998</v>
      </c>
      <c r="J42" s="12">
        <v>0.50415219909999998</v>
      </c>
      <c r="K42" s="58" t="s">
        <v>30</v>
      </c>
    </row>
    <row r="43" spans="1:11" x14ac:dyDescent="0.2">
      <c r="A43" s="1" t="s">
        <v>3</v>
      </c>
      <c r="B43" s="1" t="s">
        <v>6</v>
      </c>
      <c r="C43" s="60"/>
      <c r="D43" s="56"/>
      <c r="E43" s="56"/>
      <c r="F43" s="12">
        <v>0.27900922929999999</v>
      </c>
      <c r="G43" s="12">
        <v>0</v>
      </c>
      <c r="H43" s="12">
        <v>0.47771554779999997</v>
      </c>
      <c r="I43" s="12">
        <v>0.74131101600000004</v>
      </c>
      <c r="J43" s="12">
        <v>0.6867986989</v>
      </c>
      <c r="K43" s="58"/>
    </row>
    <row r="44" spans="1:11" x14ac:dyDescent="0.2">
      <c r="A44" s="1" t="s">
        <v>4</v>
      </c>
      <c r="B44" s="1" t="s">
        <v>7</v>
      </c>
      <c r="C44" s="60"/>
      <c r="D44" s="56"/>
      <c r="E44" s="56"/>
      <c r="F44" s="12">
        <v>1.08858563E-2</v>
      </c>
      <c r="G44" s="12">
        <v>0.15173148219999999</v>
      </c>
      <c r="H44" s="12">
        <v>4.6777628799999998E-2</v>
      </c>
      <c r="I44" s="12">
        <v>0.61174020819999997</v>
      </c>
      <c r="J44" s="12">
        <v>0.34279394219999998</v>
      </c>
      <c r="K44" s="58"/>
    </row>
    <row r="46" spans="1:11" x14ac:dyDescent="0.2">
      <c r="A46" s="1" t="s">
        <v>2</v>
      </c>
      <c r="B46" s="1" t="s">
        <v>5</v>
      </c>
      <c r="C46" s="60" t="s">
        <v>51</v>
      </c>
      <c r="D46" s="56" t="s">
        <v>26</v>
      </c>
      <c r="E46" s="56" t="s">
        <v>28</v>
      </c>
      <c r="F46" s="12">
        <v>0.36310557049999997</v>
      </c>
      <c r="G46" s="12">
        <v>8.7186364999999998E-3</v>
      </c>
      <c r="H46" s="12">
        <v>0.53274420069999995</v>
      </c>
      <c r="I46" s="12">
        <v>0.81572219999999995</v>
      </c>
      <c r="J46" s="12">
        <v>0.43511184339999998</v>
      </c>
      <c r="K46" s="58" t="s">
        <v>31</v>
      </c>
    </row>
    <row r="47" spans="1:11" x14ac:dyDescent="0.2">
      <c r="A47" s="1" t="s">
        <v>3</v>
      </c>
      <c r="B47" s="1" t="s">
        <v>6</v>
      </c>
      <c r="C47" s="60"/>
      <c r="D47" s="56"/>
      <c r="E47" s="56"/>
      <c r="F47" s="12">
        <v>0.36941770550000003</v>
      </c>
      <c r="G47" s="12">
        <v>1.5464730899999999E-2</v>
      </c>
      <c r="H47" s="12">
        <v>0.56351585920000002</v>
      </c>
      <c r="I47" s="12">
        <v>0.78861496499999995</v>
      </c>
      <c r="J47" s="12">
        <v>0.67778323610000002</v>
      </c>
      <c r="K47" s="58"/>
    </row>
    <row r="48" spans="1:11" x14ac:dyDescent="0.2">
      <c r="A48" s="1" t="s">
        <v>4</v>
      </c>
      <c r="B48" s="1" t="s">
        <v>7</v>
      </c>
      <c r="C48" s="60"/>
      <c r="D48" s="56"/>
      <c r="E48" s="56"/>
      <c r="F48" s="12">
        <v>7.1050970500000005E-2</v>
      </c>
      <c r="G48" s="12">
        <v>0.2945005523</v>
      </c>
      <c r="H48" s="12">
        <v>0.2473567934</v>
      </c>
      <c r="I48" s="12">
        <v>0.50930333279999995</v>
      </c>
      <c r="J48" s="12">
        <v>0.33626401280000001</v>
      </c>
      <c r="K48" s="58"/>
    </row>
    <row r="50" spans="1:11" x14ac:dyDescent="0.2">
      <c r="A50" s="1" t="s">
        <v>2</v>
      </c>
      <c r="B50" s="1" t="s">
        <v>5</v>
      </c>
      <c r="C50" s="60" t="s">
        <v>52</v>
      </c>
      <c r="D50" s="56" t="s">
        <v>39</v>
      </c>
      <c r="E50" s="56" t="s">
        <v>29</v>
      </c>
      <c r="F50" s="12">
        <v>0.47069342339999998</v>
      </c>
      <c r="G50" s="12">
        <v>4.9970196699999997E-2</v>
      </c>
      <c r="H50" s="12">
        <v>0.74418835679999995</v>
      </c>
      <c r="I50" s="12">
        <v>0.91550606810000001</v>
      </c>
      <c r="J50" s="12">
        <v>0.57816466190000004</v>
      </c>
    </row>
    <row r="51" spans="1:11" x14ac:dyDescent="0.2">
      <c r="A51" s="1" t="s">
        <v>3</v>
      </c>
      <c r="B51" s="1" t="s">
        <v>6</v>
      </c>
      <c r="C51" s="60"/>
      <c r="D51" s="56"/>
      <c r="E51" s="56"/>
      <c r="F51" s="12">
        <v>0.46868170079999999</v>
      </c>
      <c r="G51" s="12">
        <v>4.1699781499999998E-2</v>
      </c>
      <c r="H51" s="12">
        <v>0.61643155179999998</v>
      </c>
      <c r="I51" s="12">
        <v>0.84420971109999998</v>
      </c>
      <c r="J51" s="12">
        <v>0.66572561149999998</v>
      </c>
    </row>
    <row r="52" spans="1:11" x14ac:dyDescent="0.2">
      <c r="A52" s="1" t="s">
        <v>4</v>
      </c>
      <c r="B52" s="1" t="s">
        <v>7</v>
      </c>
      <c r="C52" s="60"/>
      <c r="D52" s="56"/>
      <c r="E52" s="56"/>
      <c r="F52" s="12">
        <v>4.2022650500000001E-2</v>
      </c>
      <c r="G52" s="20">
        <v>0.37070335789999997</v>
      </c>
      <c r="H52" s="12">
        <v>0.13441287499999999</v>
      </c>
      <c r="I52" s="12">
        <v>0.67062795040000001</v>
      </c>
      <c r="J52" s="12">
        <v>0.4546958096</v>
      </c>
    </row>
    <row r="55" spans="1:11" s="45" customFormat="1" x14ac:dyDescent="0.2">
      <c r="A55" s="63" t="s">
        <v>60</v>
      </c>
      <c r="B55" s="63"/>
      <c r="C55" s="63"/>
      <c r="D55" s="63"/>
      <c r="E55" s="42"/>
      <c r="F55" s="43">
        <f>MAX(F2:F52)</f>
        <v>0.48067164600000001</v>
      </c>
      <c r="G55" s="43">
        <f>MAX(G2:G52)</f>
        <v>0.37070335789999997</v>
      </c>
      <c r="H55" s="43">
        <f>MAX(H2:H52)</f>
        <v>0.78124373520000001</v>
      </c>
      <c r="I55" s="43">
        <f>MAX(I2:I52)</f>
        <v>0.92762878579999997</v>
      </c>
      <c r="J55" s="43">
        <f>MAX(J2:J52)</f>
        <v>0.71830903779999999</v>
      </c>
      <c r="K55" s="44"/>
    </row>
    <row r="56" spans="1:11" s="49" customFormat="1" x14ac:dyDescent="0.2">
      <c r="A56" s="55" t="s">
        <v>61</v>
      </c>
      <c r="B56" s="55"/>
      <c r="C56" s="55"/>
      <c r="D56" s="55"/>
      <c r="E56" s="46"/>
      <c r="F56" s="47">
        <f>AVERAGE(F2:F52)</f>
        <v>0.21716488937777773</v>
      </c>
      <c r="G56" s="47">
        <f>AVERAGE(G2:G52)</f>
        <v>0.10282875713333334</v>
      </c>
      <c r="H56" s="47">
        <f>AVERAGE(H2:H52)</f>
        <v>0.37310816464857149</v>
      </c>
      <c r="I56" s="47">
        <f>AVERAGE(I2:I52)</f>
        <v>0.66562983308333334</v>
      </c>
      <c r="J56" s="47">
        <f>AVERAGE(J2:J52)</f>
        <v>0.46911950566388888</v>
      </c>
      <c r="K56" s="48"/>
    </row>
  </sheetData>
  <mergeCells count="47">
    <mergeCell ref="A55:D55"/>
    <mergeCell ref="C6:C8"/>
    <mergeCell ref="C12:C14"/>
    <mergeCell ref="C16:C18"/>
    <mergeCell ref="C20:C22"/>
    <mergeCell ref="C24:C26"/>
    <mergeCell ref="C50:C52"/>
    <mergeCell ref="D24:D26"/>
    <mergeCell ref="D28:D30"/>
    <mergeCell ref="D32:D34"/>
    <mergeCell ref="D36:D38"/>
    <mergeCell ref="D42:D44"/>
    <mergeCell ref="D46:D48"/>
    <mergeCell ref="D50:D52"/>
    <mergeCell ref="A40:D40"/>
    <mergeCell ref="D2:D4"/>
    <mergeCell ref="D6:D8"/>
    <mergeCell ref="D12:D14"/>
    <mergeCell ref="D16:D18"/>
    <mergeCell ref="D20:D22"/>
    <mergeCell ref="A10:D10"/>
    <mergeCell ref="C2:C4"/>
    <mergeCell ref="E12:E14"/>
    <mergeCell ref="E16:E18"/>
    <mergeCell ref="E20:E22"/>
    <mergeCell ref="C42:C44"/>
    <mergeCell ref="C46:C48"/>
    <mergeCell ref="C28:C30"/>
    <mergeCell ref="C32:C34"/>
    <mergeCell ref="C36:C38"/>
    <mergeCell ref="E46:E48"/>
    <mergeCell ref="A56:D56"/>
    <mergeCell ref="E50:E52"/>
    <mergeCell ref="K2:K4"/>
    <mergeCell ref="K6:K8"/>
    <mergeCell ref="K12:K14"/>
    <mergeCell ref="K16:K18"/>
    <mergeCell ref="K20:K22"/>
    <mergeCell ref="K42:K44"/>
    <mergeCell ref="K46:K48"/>
    <mergeCell ref="E24:E26"/>
    <mergeCell ref="E28:E30"/>
    <mergeCell ref="E32:E34"/>
    <mergeCell ref="E36:E38"/>
    <mergeCell ref="E42:E44"/>
    <mergeCell ref="E2:E4"/>
    <mergeCell ref="E6:E8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D27533-334C-8545-BBC4-8C9F3EE864EF}">
  <dimension ref="A1:N60"/>
  <sheetViews>
    <sheetView zoomScaleNormal="100" workbookViewId="0">
      <pane ySplit="1" topLeftCell="A5" activePane="bottomLeft" state="frozen"/>
      <selection pane="bottomLeft" activeCell="F79" sqref="F79"/>
    </sheetView>
  </sheetViews>
  <sheetFormatPr baseColWidth="10" defaultColWidth="51.33203125" defaultRowHeight="21" x14ac:dyDescent="0.2"/>
  <cols>
    <col min="1" max="1" width="26.1640625" style="1" customWidth="1"/>
    <col min="2" max="2" width="17.6640625" style="1" customWidth="1"/>
    <col min="3" max="3" width="34.5" style="1" customWidth="1"/>
    <col min="4" max="4" width="35.33203125" style="4" customWidth="1"/>
    <col min="5" max="5" width="44.33203125" style="4" customWidth="1"/>
    <col min="6" max="6" width="24" style="12" customWidth="1"/>
    <col min="7" max="7" width="23.1640625" style="1" customWidth="1"/>
    <col min="8" max="8" width="27.5" style="1" customWidth="1"/>
    <col min="9" max="9" width="27.33203125" style="1" customWidth="1"/>
    <col min="10" max="10" width="31.33203125" style="1" customWidth="1"/>
    <col min="11" max="11" width="68.33203125" style="3" customWidth="1"/>
    <col min="12" max="16384" width="51.33203125" style="1"/>
  </cols>
  <sheetData>
    <row r="1" spans="1:12" s="6" customFormat="1" ht="66" x14ac:dyDescent="0.2">
      <c r="A1" s="6" t="s">
        <v>0</v>
      </c>
      <c r="B1" s="6" t="s">
        <v>1</v>
      </c>
      <c r="C1" s="7" t="s">
        <v>40</v>
      </c>
      <c r="D1" s="7" t="s">
        <v>9</v>
      </c>
      <c r="E1" s="7" t="s">
        <v>12</v>
      </c>
      <c r="F1" s="13" t="s">
        <v>53</v>
      </c>
      <c r="G1" s="7" t="s">
        <v>54</v>
      </c>
      <c r="H1" s="7" t="s">
        <v>55</v>
      </c>
      <c r="I1" s="7" t="s">
        <v>56</v>
      </c>
      <c r="J1" s="7" t="s">
        <v>57</v>
      </c>
      <c r="K1" s="7" t="s">
        <v>14</v>
      </c>
      <c r="L1" s="7"/>
    </row>
    <row r="2" spans="1:12" x14ac:dyDescent="0.2">
      <c r="A2" s="1" t="s">
        <v>2</v>
      </c>
      <c r="B2" s="1" t="s">
        <v>5</v>
      </c>
      <c r="C2" s="62" t="s">
        <v>41</v>
      </c>
      <c r="D2" s="59" t="s">
        <v>8</v>
      </c>
      <c r="E2" s="59" t="s">
        <v>13</v>
      </c>
      <c r="F2" s="12">
        <v>7.2387344199999995E-2</v>
      </c>
      <c r="G2" s="12">
        <v>1.6299137E-3</v>
      </c>
      <c r="H2" s="12">
        <v>0.3039309684</v>
      </c>
      <c r="I2" s="12">
        <v>0.49568405119999998</v>
      </c>
      <c r="J2" s="12">
        <v>0.49946558660000001</v>
      </c>
      <c r="K2" s="57" t="s">
        <v>15</v>
      </c>
    </row>
    <row r="3" spans="1:12" x14ac:dyDescent="0.2">
      <c r="A3" s="1" t="s">
        <v>3</v>
      </c>
      <c r="B3" s="1" t="s">
        <v>6</v>
      </c>
      <c r="C3" s="60"/>
      <c r="D3" s="56"/>
      <c r="E3" s="56"/>
      <c r="F3" s="12">
        <v>3.1543624200000002E-2</v>
      </c>
      <c r="G3" s="12">
        <v>2.3969319E-3</v>
      </c>
      <c r="H3" s="12">
        <v>0.33557046979999999</v>
      </c>
      <c r="I3" s="12">
        <v>0.52995509259999996</v>
      </c>
      <c r="J3" s="20">
        <v>0.51222158829999997</v>
      </c>
      <c r="K3" s="58"/>
    </row>
    <row r="4" spans="1:12" x14ac:dyDescent="0.2">
      <c r="A4" s="1" t="s">
        <v>4</v>
      </c>
      <c r="B4" s="1" t="s">
        <v>7</v>
      </c>
      <c r="C4" s="60"/>
      <c r="D4" s="56"/>
      <c r="E4" s="56"/>
      <c r="F4" s="12">
        <v>1.70661553E-2</v>
      </c>
      <c r="G4" s="12">
        <v>4.6021092999999997E-3</v>
      </c>
      <c r="H4" s="12">
        <v>0.2404602109</v>
      </c>
      <c r="I4" s="12">
        <v>0.58040054529999996</v>
      </c>
      <c r="J4" s="12">
        <v>0.46528456299999998</v>
      </c>
      <c r="K4" s="58"/>
    </row>
    <row r="5" spans="1:12" x14ac:dyDescent="0.2">
      <c r="G5" s="12"/>
      <c r="H5" s="12"/>
      <c r="I5" s="12"/>
      <c r="J5" s="12"/>
    </row>
    <row r="6" spans="1:12" x14ac:dyDescent="0.2">
      <c r="A6" s="1" t="s">
        <v>2</v>
      </c>
      <c r="B6" s="1" t="s">
        <v>5</v>
      </c>
      <c r="C6" s="60" t="s">
        <v>42</v>
      </c>
      <c r="D6" s="56" t="s">
        <v>10</v>
      </c>
      <c r="E6" s="56" t="s">
        <v>13</v>
      </c>
      <c r="F6" s="12">
        <v>4.5315194500000003E-2</v>
      </c>
      <c r="G6" s="12">
        <v>2.3950948999999998E-3</v>
      </c>
      <c r="H6" s="12">
        <v>0.4433799578</v>
      </c>
      <c r="I6" s="12">
        <v>0.50993328660000004</v>
      </c>
      <c r="J6" s="12">
        <v>0.5044039011</v>
      </c>
      <c r="K6" s="58" t="s">
        <v>16</v>
      </c>
    </row>
    <row r="7" spans="1:12" x14ac:dyDescent="0.2">
      <c r="A7" s="1" t="s">
        <v>3</v>
      </c>
      <c r="B7" s="1" t="s">
        <v>6</v>
      </c>
      <c r="C7" s="60"/>
      <c r="D7" s="56"/>
      <c r="E7" s="56"/>
      <c r="F7" s="12">
        <v>4.3303314799999999E-2</v>
      </c>
      <c r="G7" s="12">
        <v>1.7244682999999999E-3</v>
      </c>
      <c r="H7" s="12">
        <v>0.20195439740000001</v>
      </c>
      <c r="I7" s="12">
        <v>0.45895427179999998</v>
      </c>
      <c r="J7" s="12">
        <v>0.43858537390000002</v>
      </c>
      <c r="K7" s="58"/>
    </row>
    <row r="8" spans="1:12" x14ac:dyDescent="0.2">
      <c r="A8" s="1" t="s">
        <v>4</v>
      </c>
      <c r="B8" s="1" t="s">
        <v>7</v>
      </c>
      <c r="C8" s="60"/>
      <c r="D8" s="56"/>
      <c r="E8" s="56"/>
      <c r="F8" s="12">
        <v>1.6669860099999999E-2</v>
      </c>
      <c r="G8" s="12">
        <v>8.6223409999999995E-4</v>
      </c>
      <c r="H8" s="12">
        <v>0.3402950757</v>
      </c>
      <c r="I8" s="12">
        <v>0.54925118539999995</v>
      </c>
      <c r="J8" s="12">
        <v>0.47867128799999997</v>
      </c>
      <c r="K8" s="58"/>
    </row>
    <row r="9" spans="1:12" x14ac:dyDescent="0.2">
      <c r="G9" s="12"/>
      <c r="H9" s="12"/>
      <c r="I9" s="12"/>
      <c r="J9" s="12"/>
    </row>
    <row r="10" spans="1:12" s="2" customFormat="1" x14ac:dyDescent="0.2">
      <c r="A10" s="61" t="s">
        <v>37</v>
      </c>
      <c r="B10" s="61"/>
      <c r="C10" s="61"/>
      <c r="D10" s="61"/>
      <c r="E10" s="5"/>
      <c r="F10" s="14"/>
      <c r="G10" s="14"/>
      <c r="H10" s="14"/>
      <c r="I10" s="14"/>
      <c r="J10" s="14"/>
      <c r="K10" s="5"/>
    </row>
    <row r="11" spans="1:12" x14ac:dyDescent="0.2">
      <c r="G11" s="12"/>
      <c r="H11" s="12"/>
      <c r="I11" s="12"/>
      <c r="J11" s="12"/>
    </row>
    <row r="12" spans="1:12" x14ac:dyDescent="0.2">
      <c r="A12" s="1" t="s">
        <v>2</v>
      </c>
      <c r="B12" s="1" t="s">
        <v>5</v>
      </c>
      <c r="C12" s="60" t="s">
        <v>43</v>
      </c>
      <c r="D12" s="56" t="s">
        <v>11</v>
      </c>
      <c r="E12" s="56" t="s">
        <v>17</v>
      </c>
      <c r="F12" s="12">
        <v>7.0853307800000001E-2</v>
      </c>
      <c r="G12" s="12">
        <v>1.1505273E-3</v>
      </c>
      <c r="H12" s="12">
        <v>0.43815915630000002</v>
      </c>
      <c r="I12" s="12">
        <v>0.53972968129999999</v>
      </c>
      <c r="J12" s="12">
        <v>0.49020679299999997</v>
      </c>
      <c r="K12" s="58" t="s">
        <v>18</v>
      </c>
    </row>
    <row r="13" spans="1:12" x14ac:dyDescent="0.2">
      <c r="A13" s="1" t="s">
        <v>3</v>
      </c>
      <c r="B13" s="1" t="s">
        <v>6</v>
      </c>
      <c r="C13" s="60"/>
      <c r="D13" s="56"/>
      <c r="E13" s="56"/>
      <c r="F13" s="12">
        <v>1.0546500000000001E-3</v>
      </c>
      <c r="G13" s="12">
        <v>3.2598274E-3</v>
      </c>
      <c r="H13" s="12">
        <v>0.3911792905</v>
      </c>
      <c r="I13" s="12">
        <v>0.51193921760000005</v>
      </c>
      <c r="J13" s="12">
        <v>0.48910588160000001</v>
      </c>
      <c r="K13" s="58"/>
    </row>
    <row r="14" spans="1:12" x14ac:dyDescent="0.2">
      <c r="A14" s="1" t="s">
        <v>4</v>
      </c>
      <c r="B14" s="1" t="s">
        <v>7</v>
      </c>
      <c r="C14" s="60"/>
      <c r="D14" s="56"/>
      <c r="E14" s="56"/>
      <c r="F14" s="12">
        <v>2.876318E-4</v>
      </c>
      <c r="G14" s="12">
        <v>1.725791E-3</v>
      </c>
      <c r="H14" s="12">
        <v>4.18024928E-2</v>
      </c>
      <c r="I14" s="12">
        <v>0.45718950790000001</v>
      </c>
      <c r="J14" s="12">
        <v>0.46995530219999998</v>
      </c>
      <c r="K14" s="58"/>
    </row>
    <row r="15" spans="1:12" x14ac:dyDescent="0.2">
      <c r="G15" s="12"/>
      <c r="H15" s="12"/>
      <c r="I15" s="12"/>
      <c r="J15" s="12"/>
    </row>
    <row r="16" spans="1:12" x14ac:dyDescent="0.2">
      <c r="A16" s="1" t="s">
        <v>2</v>
      </c>
      <c r="B16" s="1" t="s">
        <v>5</v>
      </c>
      <c r="C16" s="60" t="s">
        <v>44</v>
      </c>
      <c r="D16" s="56" t="s">
        <v>19</v>
      </c>
      <c r="E16" s="56" t="s">
        <v>27</v>
      </c>
      <c r="F16" s="12">
        <v>5.6663470799999997E-2</v>
      </c>
      <c r="G16" s="12">
        <v>9.2042185999999995E-3</v>
      </c>
      <c r="H16" s="12">
        <v>0.42109300100000002</v>
      </c>
      <c r="I16" s="12">
        <v>0.81920023559999999</v>
      </c>
      <c r="J16" s="12">
        <v>0.44493382850000002</v>
      </c>
      <c r="K16" s="58" t="s">
        <v>36</v>
      </c>
    </row>
    <row r="17" spans="1:11" x14ac:dyDescent="0.2">
      <c r="A17" s="1" t="s">
        <v>3</v>
      </c>
      <c r="B17" s="1" t="s">
        <v>6</v>
      </c>
      <c r="C17" s="60"/>
      <c r="D17" s="56"/>
      <c r="E17" s="56"/>
      <c r="F17" s="20">
        <v>8.2166826499999998E-2</v>
      </c>
      <c r="G17" s="12">
        <v>9.5877299999999998E-5</v>
      </c>
      <c r="H17" s="12">
        <v>0.42070949190000001</v>
      </c>
      <c r="I17" s="12">
        <v>0.81290296760000003</v>
      </c>
      <c r="J17" s="12">
        <v>0.4417925586</v>
      </c>
      <c r="K17" s="58"/>
    </row>
    <row r="18" spans="1:11" x14ac:dyDescent="0.2">
      <c r="A18" s="1" t="s">
        <v>4</v>
      </c>
      <c r="B18" s="1" t="s">
        <v>7</v>
      </c>
      <c r="C18" s="60"/>
      <c r="D18" s="56"/>
      <c r="E18" s="56"/>
      <c r="F18" s="12">
        <v>7.6701820000000002E-4</v>
      </c>
      <c r="G18" s="12">
        <v>2.0134227999999998E-3</v>
      </c>
      <c r="H18" s="12">
        <v>0.1702780441</v>
      </c>
      <c r="I18" s="12">
        <v>0.46493483429999999</v>
      </c>
      <c r="J18" s="12">
        <v>0.47127738250000001</v>
      </c>
      <c r="K18" s="58"/>
    </row>
    <row r="19" spans="1:11" x14ac:dyDescent="0.2">
      <c r="G19" s="12"/>
      <c r="H19" s="12"/>
      <c r="I19" s="12"/>
      <c r="J19" s="12"/>
    </row>
    <row r="20" spans="1:11" x14ac:dyDescent="0.2">
      <c r="A20" s="1" t="s">
        <v>2</v>
      </c>
      <c r="B20" s="1" t="s">
        <v>5</v>
      </c>
      <c r="C20" s="60" t="s">
        <v>45</v>
      </c>
      <c r="D20" s="56" t="s">
        <v>20</v>
      </c>
      <c r="E20" s="56" t="s">
        <v>28</v>
      </c>
      <c r="F20" s="12">
        <v>2.0997123699999998E-2</v>
      </c>
      <c r="G20" s="12">
        <v>2.3010547000000001E-3</v>
      </c>
      <c r="H20" s="12">
        <v>0.3390220518</v>
      </c>
      <c r="I20" s="12">
        <v>0.80129368079999996</v>
      </c>
      <c r="J20" s="12">
        <v>0.42862661320000001</v>
      </c>
      <c r="K20" s="58" t="s">
        <v>35</v>
      </c>
    </row>
    <row r="21" spans="1:11" x14ac:dyDescent="0.2">
      <c r="A21" s="1" t="s">
        <v>3</v>
      </c>
      <c r="B21" s="1" t="s">
        <v>6</v>
      </c>
      <c r="C21" s="60"/>
      <c r="D21" s="56"/>
      <c r="E21" s="56"/>
      <c r="F21" s="12">
        <v>3.2598274E-3</v>
      </c>
      <c r="G21" s="12">
        <v>4.1227229000000004E-3</v>
      </c>
      <c r="H21" s="12">
        <v>0.25656759350000002</v>
      </c>
      <c r="I21" s="12">
        <v>0.5509203869</v>
      </c>
      <c r="J21" s="12">
        <v>0.4742471747</v>
      </c>
      <c r="K21" s="58"/>
    </row>
    <row r="22" spans="1:11" x14ac:dyDescent="0.2">
      <c r="A22" s="1" t="s">
        <v>4</v>
      </c>
      <c r="B22" s="1" t="s">
        <v>7</v>
      </c>
      <c r="C22" s="60"/>
      <c r="D22" s="56"/>
      <c r="E22" s="56"/>
      <c r="F22" s="12">
        <v>0</v>
      </c>
      <c r="G22" s="12">
        <v>9.5877280000000004E-4</v>
      </c>
      <c r="H22" s="12">
        <v>0.35321188879999998</v>
      </c>
      <c r="I22" s="12">
        <v>0.55203139629999998</v>
      </c>
      <c r="J22" s="12">
        <v>0.4477544779</v>
      </c>
      <c r="K22" s="58"/>
    </row>
    <row r="23" spans="1:11" x14ac:dyDescent="0.2">
      <c r="G23" s="12"/>
      <c r="H23" s="12"/>
      <c r="I23" s="12"/>
      <c r="J23" s="12"/>
    </row>
    <row r="24" spans="1:11" x14ac:dyDescent="0.2">
      <c r="A24" s="1" t="s">
        <v>2</v>
      </c>
      <c r="B24" s="1" t="s">
        <v>5</v>
      </c>
      <c r="C24" s="60" t="s">
        <v>46</v>
      </c>
      <c r="D24" s="56" t="s">
        <v>21</v>
      </c>
      <c r="E24" s="56" t="s">
        <v>32</v>
      </c>
      <c r="F24" s="12">
        <v>4.7363374899999998E-2</v>
      </c>
      <c r="G24" s="12">
        <v>6.0402685000000003E-3</v>
      </c>
      <c r="H24" s="12">
        <v>0.59443911790000004</v>
      </c>
      <c r="I24" s="12">
        <v>0.74501811169999999</v>
      </c>
      <c r="J24" s="12">
        <v>0.49716885890000001</v>
      </c>
    </row>
    <row r="25" spans="1:11" x14ac:dyDescent="0.2">
      <c r="A25" s="1" t="s">
        <v>3</v>
      </c>
      <c r="B25" s="1" t="s">
        <v>6</v>
      </c>
      <c r="C25" s="60"/>
      <c r="D25" s="56"/>
      <c r="E25" s="56"/>
      <c r="F25" s="12">
        <v>6.8744007699999998E-2</v>
      </c>
      <c r="G25" s="12">
        <v>6.1361456999999998E-3</v>
      </c>
      <c r="H25" s="12">
        <v>0.44966442950000002</v>
      </c>
      <c r="I25" s="12">
        <v>0.79752785130000003</v>
      </c>
      <c r="J25" s="12">
        <v>0.44321827860000002</v>
      </c>
    </row>
    <row r="26" spans="1:11" x14ac:dyDescent="0.2">
      <c r="A26" s="1" t="s">
        <v>4</v>
      </c>
      <c r="B26" s="1" t="s">
        <v>7</v>
      </c>
      <c r="C26" s="60"/>
      <c r="D26" s="56"/>
      <c r="E26" s="56"/>
      <c r="F26" s="12">
        <v>2.876318E-4</v>
      </c>
      <c r="G26" s="12">
        <v>9.5877280000000004E-4</v>
      </c>
      <c r="H26" s="12"/>
      <c r="I26" s="12">
        <v>0.47498283299999999</v>
      </c>
      <c r="J26" s="12">
        <v>0.45436830360000002</v>
      </c>
    </row>
    <row r="27" spans="1:11" x14ac:dyDescent="0.2">
      <c r="G27" s="12"/>
      <c r="H27" s="12"/>
      <c r="I27" s="12"/>
      <c r="J27" s="12"/>
    </row>
    <row r="28" spans="1:11" x14ac:dyDescent="0.2">
      <c r="A28" s="1" t="s">
        <v>2</v>
      </c>
      <c r="B28" s="1" t="s">
        <v>5</v>
      </c>
      <c r="C28" s="60" t="s">
        <v>47</v>
      </c>
      <c r="D28" s="56" t="s">
        <v>22</v>
      </c>
      <c r="E28" s="56" t="s">
        <v>33</v>
      </c>
      <c r="F28" s="12">
        <v>2.6270373900000001E-2</v>
      </c>
      <c r="G28" s="12">
        <v>1.0546500999999999E-3</v>
      </c>
      <c r="H28" s="12">
        <v>0.39424736339999999</v>
      </c>
      <c r="I28" s="12">
        <v>0.85301524640000004</v>
      </c>
      <c r="J28" s="12">
        <v>0.43387269899999997</v>
      </c>
    </row>
    <row r="29" spans="1:11" x14ac:dyDescent="0.2">
      <c r="A29" s="1" t="s">
        <v>3</v>
      </c>
      <c r="B29" s="1" t="s">
        <v>6</v>
      </c>
      <c r="C29" s="60"/>
      <c r="D29" s="56"/>
      <c r="E29" s="56"/>
      <c r="F29" s="12">
        <v>2.9721956000000002E-3</v>
      </c>
      <c r="G29" s="12">
        <v>5.6567594000000001E-3</v>
      </c>
      <c r="H29" s="12">
        <v>0.2316395014</v>
      </c>
      <c r="I29" s="12">
        <v>0.55081401399999996</v>
      </c>
      <c r="J29" s="12">
        <v>0.46885872319999999</v>
      </c>
    </row>
    <row r="30" spans="1:11" x14ac:dyDescent="0.2">
      <c r="A30" s="1" t="s">
        <v>4</v>
      </c>
      <c r="B30" s="1" t="s">
        <v>7</v>
      </c>
      <c r="C30" s="60"/>
      <c r="D30" s="56"/>
      <c r="E30" s="56"/>
      <c r="F30" s="12">
        <v>0</v>
      </c>
      <c r="G30" s="12">
        <v>2.1093001000000002E-3</v>
      </c>
      <c r="H30" s="12">
        <v>0.1474592522</v>
      </c>
      <c r="I30" s="12">
        <v>0.49817440019999998</v>
      </c>
      <c r="J30" s="12">
        <v>0.48203369289999998</v>
      </c>
    </row>
    <row r="31" spans="1:11" x14ac:dyDescent="0.2">
      <c r="G31" s="12"/>
      <c r="H31" s="12"/>
      <c r="I31" s="12"/>
      <c r="J31" s="12"/>
    </row>
    <row r="32" spans="1:11" x14ac:dyDescent="0.2">
      <c r="A32" s="1" t="s">
        <v>2</v>
      </c>
      <c r="B32" s="1" t="s">
        <v>5</v>
      </c>
      <c r="C32" s="60" t="s">
        <v>48</v>
      </c>
      <c r="D32" s="56" t="s">
        <v>23</v>
      </c>
      <c r="E32" s="56" t="s">
        <v>29</v>
      </c>
      <c r="F32" s="12">
        <v>2.6558005799999999E-2</v>
      </c>
      <c r="G32" s="20">
        <v>7.9290508100000004E-2</v>
      </c>
      <c r="H32" s="12">
        <v>0.42742090119999998</v>
      </c>
      <c r="I32" s="20">
        <v>0.89827844270000001</v>
      </c>
      <c r="J32" s="12">
        <v>0.34608643859999999</v>
      </c>
    </row>
    <row r="33" spans="1:11" x14ac:dyDescent="0.2">
      <c r="A33" s="1" t="s">
        <v>3</v>
      </c>
      <c r="B33" s="1" t="s">
        <v>6</v>
      </c>
      <c r="C33" s="60"/>
      <c r="D33" s="56"/>
      <c r="E33" s="56"/>
      <c r="F33" s="12">
        <v>6.2032598299999998E-2</v>
      </c>
      <c r="G33" s="12">
        <v>9.9712367999999999E-3</v>
      </c>
      <c r="H33" s="12">
        <v>0.22109300100000001</v>
      </c>
      <c r="I33" s="12">
        <v>0.83613638540000002</v>
      </c>
      <c r="J33" s="12">
        <v>0.38036204509999999</v>
      </c>
    </row>
    <row r="34" spans="1:11" x14ac:dyDescent="0.2">
      <c r="A34" s="1" t="s">
        <v>4</v>
      </c>
      <c r="B34" s="1" t="s">
        <v>7</v>
      </c>
      <c r="C34" s="60"/>
      <c r="D34" s="56"/>
      <c r="E34" s="56"/>
      <c r="F34" s="12">
        <v>5.7526370000000003E-4</v>
      </c>
      <c r="G34" s="12">
        <v>1.1505273E-3</v>
      </c>
      <c r="H34" s="20">
        <v>0.6839884947</v>
      </c>
      <c r="I34" s="12">
        <v>0.50245971249999999</v>
      </c>
      <c r="J34" s="12">
        <v>0.48181687890000002</v>
      </c>
    </row>
    <row r="35" spans="1:11" x14ac:dyDescent="0.2">
      <c r="G35" s="12"/>
      <c r="H35" s="12"/>
      <c r="I35" s="12"/>
      <c r="J35" s="12"/>
    </row>
    <row r="36" spans="1:11" x14ac:dyDescent="0.2">
      <c r="A36" s="1" t="s">
        <v>2</v>
      </c>
      <c r="B36" s="1" t="s">
        <v>5</v>
      </c>
      <c r="C36" s="60" t="s">
        <v>49</v>
      </c>
      <c r="D36" s="56" t="s">
        <v>24</v>
      </c>
      <c r="E36" s="56" t="s">
        <v>34</v>
      </c>
      <c r="F36" s="12">
        <v>3.07766059E-2</v>
      </c>
      <c r="G36" s="12">
        <v>7.7660593999999998E-3</v>
      </c>
      <c r="H36" s="12">
        <v>0.51179290509999997</v>
      </c>
      <c r="I36" s="12">
        <v>0.86808922990000004</v>
      </c>
      <c r="J36" s="12">
        <v>0.39241230500000002</v>
      </c>
    </row>
    <row r="37" spans="1:11" x14ac:dyDescent="0.2">
      <c r="A37" s="1" t="s">
        <v>3</v>
      </c>
      <c r="B37" s="1" t="s">
        <v>6</v>
      </c>
      <c r="C37" s="60"/>
      <c r="D37" s="56"/>
      <c r="E37" s="56"/>
      <c r="F37" s="12">
        <v>6.1361456999999998E-3</v>
      </c>
      <c r="G37" s="12">
        <v>2.08053692E-2</v>
      </c>
      <c r="H37" s="12">
        <v>0.26634707569999999</v>
      </c>
      <c r="I37" s="12">
        <v>0.75254151199999997</v>
      </c>
      <c r="J37" s="12">
        <v>0.40266426020000001</v>
      </c>
    </row>
    <row r="38" spans="1:11" x14ac:dyDescent="0.2">
      <c r="A38" s="1" t="s">
        <v>4</v>
      </c>
      <c r="B38" s="1" t="s">
        <v>7</v>
      </c>
      <c r="C38" s="60"/>
      <c r="D38" s="56"/>
      <c r="E38" s="56"/>
      <c r="F38" s="12">
        <v>1.917546E-4</v>
      </c>
      <c r="G38" s="12">
        <v>1.3422818999999999E-3</v>
      </c>
      <c r="H38" s="12">
        <v>0.10354745930000001</v>
      </c>
      <c r="I38" s="12">
        <v>0.48979562119999998</v>
      </c>
      <c r="J38" s="12">
        <v>0.4776966775</v>
      </c>
    </row>
    <row r="39" spans="1:11" x14ac:dyDescent="0.2">
      <c r="G39" s="12"/>
      <c r="H39" s="12"/>
      <c r="I39" s="12"/>
      <c r="J39" s="12"/>
    </row>
    <row r="40" spans="1:11" s="2" customFormat="1" x14ac:dyDescent="0.2">
      <c r="A40" s="61" t="s">
        <v>38</v>
      </c>
      <c r="B40" s="61"/>
      <c r="C40" s="61"/>
      <c r="D40" s="61"/>
      <c r="E40" s="5"/>
      <c r="F40" s="14"/>
      <c r="G40" s="14"/>
      <c r="H40" s="14"/>
      <c r="I40" s="14"/>
      <c r="J40" s="14"/>
      <c r="K40" s="5"/>
    </row>
    <row r="41" spans="1:11" x14ac:dyDescent="0.2">
      <c r="G41" s="12"/>
      <c r="H41" s="12"/>
      <c r="I41" s="12"/>
      <c r="J41" s="12"/>
    </row>
    <row r="42" spans="1:11" x14ac:dyDescent="0.2">
      <c r="A42" s="1" t="s">
        <v>2</v>
      </c>
      <c r="B42" s="1" t="s">
        <v>5</v>
      </c>
      <c r="C42" s="60" t="s">
        <v>50</v>
      </c>
      <c r="D42" s="56" t="s">
        <v>25</v>
      </c>
      <c r="E42" s="56" t="s">
        <v>27</v>
      </c>
      <c r="F42" s="12">
        <v>4.1387238899999998E-2</v>
      </c>
      <c r="G42" s="12">
        <v>2.6825063E-3</v>
      </c>
      <c r="H42" s="12">
        <v>0.29526729260000001</v>
      </c>
      <c r="I42" s="12">
        <v>0.71257026599999995</v>
      </c>
      <c r="J42" s="12">
        <v>0.46282180270000001</v>
      </c>
      <c r="K42" s="58" t="s">
        <v>30</v>
      </c>
    </row>
    <row r="43" spans="1:11" x14ac:dyDescent="0.2">
      <c r="A43" s="1" t="s">
        <v>3</v>
      </c>
      <c r="B43" s="1" t="s">
        <v>6</v>
      </c>
      <c r="C43" s="60"/>
      <c r="D43" s="56"/>
      <c r="E43" s="56"/>
      <c r="F43" s="12">
        <v>1.18796704E-2</v>
      </c>
      <c r="G43" s="12">
        <v>1.4370569099999999E-2</v>
      </c>
      <c r="H43" s="12">
        <v>0.28434566010000001</v>
      </c>
      <c r="I43" s="12">
        <v>0.74580320710000003</v>
      </c>
      <c r="J43" s="12">
        <v>0.45564674030000002</v>
      </c>
      <c r="K43" s="58"/>
    </row>
    <row r="44" spans="1:11" x14ac:dyDescent="0.2">
      <c r="A44" s="1" t="s">
        <v>4</v>
      </c>
      <c r="B44" s="1" t="s">
        <v>7</v>
      </c>
      <c r="C44" s="60"/>
      <c r="D44" s="56"/>
      <c r="E44" s="56"/>
      <c r="F44" s="12">
        <v>9.5803800000000006E-5</v>
      </c>
      <c r="G44" s="12">
        <v>1.0538418000000001E-3</v>
      </c>
      <c r="H44" s="12"/>
      <c r="I44" s="12">
        <v>0.52844348480000003</v>
      </c>
      <c r="J44" s="12">
        <v>0.47630425310000002</v>
      </c>
      <c r="K44" s="58"/>
    </row>
    <row r="45" spans="1:11" x14ac:dyDescent="0.2">
      <c r="G45" s="12"/>
      <c r="H45" s="12"/>
      <c r="I45" s="12"/>
      <c r="J45" s="12"/>
    </row>
    <row r="46" spans="1:11" x14ac:dyDescent="0.2">
      <c r="A46" s="1" t="s">
        <v>2</v>
      </c>
      <c r="B46" s="1" t="s">
        <v>5</v>
      </c>
      <c r="C46" s="60" t="s">
        <v>51</v>
      </c>
      <c r="D46" s="56" t="s">
        <v>26</v>
      </c>
      <c r="E46" s="56" t="s">
        <v>28</v>
      </c>
      <c r="F46" s="12">
        <v>3.1902663300000002E-2</v>
      </c>
      <c r="G46" s="12">
        <v>3.6405442E-3</v>
      </c>
      <c r="H46" s="12">
        <v>0.31270358310000002</v>
      </c>
      <c r="I46" s="12">
        <v>0.72188747200000003</v>
      </c>
      <c r="J46" s="12">
        <v>0.44950493489999999</v>
      </c>
      <c r="K46" s="58" t="s">
        <v>31</v>
      </c>
    </row>
    <row r="47" spans="1:11" x14ac:dyDescent="0.2">
      <c r="A47" s="1" t="s">
        <v>3</v>
      </c>
      <c r="B47" s="1" t="s">
        <v>6</v>
      </c>
      <c r="C47" s="60"/>
      <c r="D47" s="56"/>
      <c r="E47" s="56"/>
      <c r="F47" s="12">
        <v>2.2322284000000001E-2</v>
      </c>
      <c r="G47" s="12">
        <v>7.6643034999999997E-3</v>
      </c>
      <c r="H47" s="12">
        <v>0.38340678290000002</v>
      </c>
      <c r="I47" s="12">
        <v>0.78424036109999995</v>
      </c>
      <c r="J47" s="12">
        <v>0.45333713520000002</v>
      </c>
      <c r="K47" s="58"/>
    </row>
    <row r="48" spans="1:11" x14ac:dyDescent="0.2">
      <c r="A48" s="1" t="s">
        <v>4</v>
      </c>
      <c r="B48" s="1" t="s">
        <v>7</v>
      </c>
      <c r="C48" s="60"/>
      <c r="D48" s="56"/>
      <c r="E48" s="56"/>
      <c r="F48" s="12">
        <v>4.7901900000000002E-4</v>
      </c>
      <c r="G48" s="12">
        <v>1.7244682999999999E-3</v>
      </c>
      <c r="H48" s="12">
        <v>0.1576930446</v>
      </c>
      <c r="I48" s="12">
        <v>0.49315648249999999</v>
      </c>
      <c r="J48" s="12">
        <v>0.47522234359999999</v>
      </c>
      <c r="K48" s="58"/>
    </row>
    <row r="49" spans="1:14" x14ac:dyDescent="0.2">
      <c r="G49" s="12"/>
      <c r="H49" s="12"/>
      <c r="I49" s="12"/>
      <c r="J49" s="12"/>
    </row>
    <row r="50" spans="1:14" x14ac:dyDescent="0.2">
      <c r="A50" s="1" t="s">
        <v>2</v>
      </c>
      <c r="B50" s="1" t="s">
        <v>5</v>
      </c>
      <c r="C50" s="60" t="s">
        <v>52</v>
      </c>
      <c r="D50" s="56" t="s">
        <v>39</v>
      </c>
      <c r="E50" s="56" t="s">
        <v>29</v>
      </c>
      <c r="F50" s="12">
        <v>2.9507568500000001E-2</v>
      </c>
      <c r="G50" s="12">
        <v>3.2573290000000002E-3</v>
      </c>
      <c r="H50" s="12">
        <v>0.27802260969999998</v>
      </c>
      <c r="I50" s="12">
        <v>0.82062468479999995</v>
      </c>
      <c r="J50" s="12">
        <v>0.39282244700000002</v>
      </c>
    </row>
    <row r="51" spans="1:14" x14ac:dyDescent="0.2">
      <c r="A51" s="1" t="s">
        <v>3</v>
      </c>
      <c r="B51" s="1" t="s">
        <v>6</v>
      </c>
      <c r="C51" s="60"/>
      <c r="D51" s="56"/>
      <c r="E51" s="56"/>
      <c r="F51" s="12">
        <v>5.7482279999999995E-4</v>
      </c>
      <c r="G51" s="12">
        <v>1.7244682999999999E-3</v>
      </c>
      <c r="H51" s="12">
        <v>0.2935428243</v>
      </c>
      <c r="I51" s="12">
        <v>0.50192727670000004</v>
      </c>
      <c r="J51" s="12">
        <v>0.4860498285</v>
      </c>
    </row>
    <row r="52" spans="1:14" x14ac:dyDescent="0.2">
      <c r="A52" s="1" t="s">
        <v>4</v>
      </c>
      <c r="B52" s="1" t="s">
        <v>7</v>
      </c>
      <c r="C52" s="60"/>
      <c r="D52" s="56"/>
      <c r="E52" s="56"/>
      <c r="F52" s="12">
        <v>9.5803800000000006E-5</v>
      </c>
      <c r="G52" s="12">
        <v>9.5803800000000003E-4</v>
      </c>
      <c r="H52" s="12"/>
      <c r="I52" s="12">
        <v>0.52609624489999995</v>
      </c>
      <c r="J52" s="12">
        <v>0.46440658470000001</v>
      </c>
    </row>
    <row r="53" spans="1:14" x14ac:dyDescent="0.2">
      <c r="G53" s="12"/>
      <c r="H53" s="12"/>
      <c r="I53" s="12"/>
      <c r="J53" s="12"/>
    </row>
    <row r="54" spans="1:14" x14ac:dyDescent="0.2">
      <c r="G54" s="12"/>
      <c r="H54" s="12"/>
      <c r="I54" s="12"/>
      <c r="J54" s="12"/>
    </row>
    <row r="55" spans="1:14" s="45" customFormat="1" x14ac:dyDescent="0.2">
      <c r="A55" s="63" t="s">
        <v>60</v>
      </c>
      <c r="B55" s="63"/>
      <c r="C55" s="63"/>
      <c r="D55" s="63"/>
      <c r="E55" s="42"/>
      <c r="F55" s="43">
        <f>MAX(F2:F52)</f>
        <v>8.2166826499999998E-2</v>
      </c>
      <c r="G55" s="43">
        <f>MAX(G2:G52)</f>
        <v>7.9290508100000004E-2</v>
      </c>
      <c r="H55" s="43">
        <f>MAX(H2:H52)</f>
        <v>0.6839884947</v>
      </c>
      <c r="I55" s="43">
        <f>MAX(I2:I52)</f>
        <v>0.89827844270000001</v>
      </c>
      <c r="J55" s="43">
        <f>MAX(J2:J52)</f>
        <v>0.51222158829999997</v>
      </c>
      <c r="K55" s="44"/>
    </row>
    <row r="56" spans="1:14" s="49" customFormat="1" x14ac:dyDescent="0.2">
      <c r="A56" s="55" t="s">
        <v>61</v>
      </c>
      <c r="B56" s="55"/>
      <c r="C56" s="55"/>
      <c r="D56" s="55"/>
      <c r="E56" s="46"/>
      <c r="F56" s="47">
        <f>AVERAGE(F2:F52)</f>
        <v>2.4235782825E-2</v>
      </c>
      <c r="G56" s="47">
        <f>AVERAGE(G2:G52)</f>
        <v>6.0500254111111127E-3</v>
      </c>
      <c r="H56" s="47">
        <f>AVERAGE(H2:H52)</f>
        <v>0.32527986028484845</v>
      </c>
      <c r="I56" s="47">
        <f>AVERAGE(I2:I52)</f>
        <v>0.63155286615000006</v>
      </c>
      <c r="J56" s="47">
        <f>AVERAGE(J2:J52)</f>
        <v>0.45647798735000017</v>
      </c>
      <c r="K56" s="48"/>
    </row>
    <row r="58" spans="1:14" s="25" customFormat="1" x14ac:dyDescent="0.2">
      <c r="A58" s="64" t="s">
        <v>68</v>
      </c>
      <c r="B58" s="64"/>
      <c r="C58" s="64"/>
      <c r="D58" s="64"/>
      <c r="E58" s="64"/>
      <c r="F58" s="32">
        <f>SUM(F55*(1/3),  G55*(1/3), I55*(1/3))</f>
        <v>0.35324525909999999</v>
      </c>
      <c r="G58" s="26"/>
      <c r="H58" s="26"/>
      <c r="I58" s="26"/>
      <c r="J58" s="26"/>
      <c r="K58" s="26"/>
      <c r="L58" s="26"/>
      <c r="M58" s="26"/>
      <c r="N58" s="27"/>
    </row>
    <row r="59" spans="1:14" s="30" customFormat="1" x14ac:dyDescent="0.2">
      <c r="A59" s="65" t="s">
        <v>69</v>
      </c>
      <c r="B59" s="65"/>
      <c r="C59" s="65"/>
      <c r="D59" s="65"/>
      <c r="E59" s="65"/>
      <c r="F59" s="31">
        <f>SUM(H55*(1/2),  J55*(1/2))</f>
        <v>0.59810504149999999</v>
      </c>
      <c r="G59" s="28"/>
      <c r="H59" s="28"/>
      <c r="I59" s="28"/>
      <c r="J59" s="28"/>
      <c r="K59" s="28"/>
      <c r="L59" s="28"/>
      <c r="M59" s="28"/>
      <c r="N59" s="29"/>
    </row>
    <row r="60" spans="1:14" s="36" customFormat="1" x14ac:dyDescent="0.2">
      <c r="A60" s="66" t="s">
        <v>70</v>
      </c>
      <c r="B60" s="66"/>
      <c r="C60" s="66"/>
      <c r="D60" s="66"/>
      <c r="E60" s="66"/>
      <c r="F60" s="33">
        <f>SUM(F55*1/5, G55*1/5, H55*1/5, I55*1/5,J55*1/5)</f>
        <v>0.45118917206000003</v>
      </c>
      <c r="G60" s="34"/>
      <c r="H60" s="34"/>
      <c r="I60" s="34"/>
      <c r="J60" s="34"/>
      <c r="K60" s="34"/>
      <c r="L60" s="34"/>
      <c r="M60" s="34"/>
      <c r="N60" s="35"/>
    </row>
  </sheetData>
  <mergeCells count="50">
    <mergeCell ref="A55:D55"/>
    <mergeCell ref="K42:K44"/>
    <mergeCell ref="C46:C48"/>
    <mergeCell ref="D46:D48"/>
    <mergeCell ref="E46:E48"/>
    <mergeCell ref="K46:K48"/>
    <mergeCell ref="E32:E34"/>
    <mergeCell ref="C50:C52"/>
    <mergeCell ref="D50:D52"/>
    <mergeCell ref="E50:E52"/>
    <mergeCell ref="C36:C38"/>
    <mergeCell ref="D36:D38"/>
    <mergeCell ref="E36:E38"/>
    <mergeCell ref="A40:D40"/>
    <mergeCell ref="C42:C44"/>
    <mergeCell ref="D42:D44"/>
    <mergeCell ref="E42:E44"/>
    <mergeCell ref="K12:K14"/>
    <mergeCell ref="C20:C22"/>
    <mergeCell ref="D20:D22"/>
    <mergeCell ref="E20:E22"/>
    <mergeCell ref="K20:K22"/>
    <mergeCell ref="C16:C18"/>
    <mergeCell ref="D16:D18"/>
    <mergeCell ref="E16:E18"/>
    <mergeCell ref="K16:K18"/>
    <mergeCell ref="C2:C4"/>
    <mergeCell ref="D2:D4"/>
    <mergeCell ref="E2:E4"/>
    <mergeCell ref="K2:K4"/>
    <mergeCell ref="C6:C8"/>
    <mergeCell ref="D6:D8"/>
    <mergeCell ref="E6:E8"/>
    <mergeCell ref="K6:K8"/>
    <mergeCell ref="A56:D56"/>
    <mergeCell ref="A58:E58"/>
    <mergeCell ref="A59:E59"/>
    <mergeCell ref="A60:E60"/>
    <mergeCell ref="A10:D10"/>
    <mergeCell ref="C12:C14"/>
    <mergeCell ref="D12:D14"/>
    <mergeCell ref="E12:E14"/>
    <mergeCell ref="C24:C26"/>
    <mergeCell ref="D24:D26"/>
    <mergeCell ref="E24:E26"/>
    <mergeCell ref="C28:C30"/>
    <mergeCell ref="D28:D30"/>
    <mergeCell ref="E28:E30"/>
    <mergeCell ref="C32:C34"/>
    <mergeCell ref="D32:D34"/>
  </mergeCells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A06E9C-6A0D-1745-934A-9CD3EA122E2E}">
  <dimension ref="A1:O64"/>
  <sheetViews>
    <sheetView zoomScaleNormal="100" workbookViewId="0">
      <pane ySplit="1" topLeftCell="A11" activePane="bottomLeft" state="frozen"/>
      <selection pane="bottomLeft" activeCell="A58" sqref="A58:XFD60"/>
    </sheetView>
  </sheetViews>
  <sheetFormatPr baseColWidth="10" defaultColWidth="51.33203125" defaultRowHeight="21" x14ac:dyDescent="0.2"/>
  <cols>
    <col min="1" max="1" width="26.1640625" style="1" customWidth="1"/>
    <col min="2" max="2" width="17.6640625" style="1" customWidth="1"/>
    <col min="3" max="3" width="34.5" style="1" customWidth="1"/>
    <col min="4" max="4" width="50.33203125" style="4" customWidth="1"/>
    <col min="5" max="5" width="50" style="4" customWidth="1"/>
    <col min="6" max="6" width="24" style="12" customWidth="1"/>
    <col min="7" max="7" width="23.1640625" style="12" customWidth="1"/>
    <col min="8" max="8" width="27.5" style="12" customWidth="1"/>
    <col min="9" max="9" width="27.33203125" style="12" customWidth="1"/>
    <col min="10" max="10" width="31.33203125" style="12" customWidth="1"/>
    <col min="11" max="11" width="30.83203125" style="12" bestFit="1" customWidth="1"/>
    <col min="12" max="12" width="31.33203125" style="12" customWidth="1"/>
    <col min="13" max="13" width="28.1640625" style="12" bestFit="1" customWidth="1"/>
    <col min="14" max="14" width="50.83203125" style="3" customWidth="1"/>
    <col min="15" max="16384" width="51.33203125" style="1"/>
  </cols>
  <sheetData>
    <row r="1" spans="1:15" s="6" customFormat="1" ht="66" x14ac:dyDescent="0.2">
      <c r="A1" s="6" t="s">
        <v>0</v>
      </c>
      <c r="B1" s="6" t="s">
        <v>1</v>
      </c>
      <c r="C1" s="7" t="s">
        <v>40</v>
      </c>
      <c r="D1" s="7" t="s">
        <v>9</v>
      </c>
      <c r="E1" s="7" t="s">
        <v>12</v>
      </c>
      <c r="F1" s="13" t="s">
        <v>53</v>
      </c>
      <c r="G1" s="13" t="s">
        <v>54</v>
      </c>
      <c r="H1" s="13" t="s">
        <v>55</v>
      </c>
      <c r="I1" s="13" t="s">
        <v>56</v>
      </c>
      <c r="J1" s="13" t="s">
        <v>57</v>
      </c>
      <c r="K1" s="13" t="s">
        <v>62</v>
      </c>
      <c r="L1" s="13" t="s">
        <v>63</v>
      </c>
      <c r="M1" s="13" t="s">
        <v>64</v>
      </c>
      <c r="N1" s="7" t="s">
        <v>14</v>
      </c>
      <c r="O1" s="7"/>
    </row>
    <row r="2" spans="1:15" x14ac:dyDescent="0.2">
      <c r="A2" s="1" t="s">
        <v>2</v>
      </c>
      <c r="B2" s="1" t="s">
        <v>5</v>
      </c>
      <c r="C2" s="62" t="s">
        <v>41</v>
      </c>
      <c r="D2" s="59" t="s">
        <v>8</v>
      </c>
      <c r="E2" s="59" t="s">
        <v>13</v>
      </c>
      <c r="F2" s="20">
        <v>9.1179290499999996E-2</v>
      </c>
      <c r="G2" s="12">
        <v>4.9856184E-3</v>
      </c>
      <c r="H2" s="12">
        <v>0.21744966439999999</v>
      </c>
      <c r="I2" s="12">
        <v>0.66392193610000005</v>
      </c>
      <c r="J2" s="12">
        <v>0.4464361979</v>
      </c>
      <c r="K2" s="12">
        <f>SUM(F2*1/3,G2*1/3,I2*1/3)</f>
        <v>0.25336228166666669</v>
      </c>
      <c r="L2" s="12">
        <f>SUM(H2*1/2,J2*1/2)</f>
        <v>0.33194293115000001</v>
      </c>
      <c r="M2" s="12">
        <f>SUM(F2*1/5,G2*1/5,H2*1/5,I2*1/5,J2*1/5)</f>
        <v>0.28479454145999999</v>
      </c>
      <c r="N2" s="57" t="s">
        <v>15</v>
      </c>
    </row>
    <row r="3" spans="1:15" x14ac:dyDescent="0.2">
      <c r="A3" s="1" t="s">
        <v>3</v>
      </c>
      <c r="B3" s="1" t="s">
        <v>6</v>
      </c>
      <c r="C3" s="60"/>
      <c r="D3" s="56"/>
      <c r="E3" s="56"/>
      <c r="F3" s="12">
        <v>8.3029722E-2</v>
      </c>
      <c r="G3" s="12">
        <v>5.7526370000000003E-4</v>
      </c>
      <c r="H3" s="12">
        <v>0.21860019180000001</v>
      </c>
      <c r="I3" s="12">
        <v>0.49342964509999998</v>
      </c>
      <c r="J3" s="12">
        <v>0.43877210389999999</v>
      </c>
      <c r="K3" s="12">
        <f>SUM(F3*1/3,G3*1/3,I3*1/3)</f>
        <v>0.19234487693333333</v>
      </c>
      <c r="L3" s="12">
        <f>SUM(H3*1/2,J3*1/2)</f>
        <v>0.32868614785</v>
      </c>
      <c r="M3" s="12">
        <f>SUM(F3*1/5,G3*1/5,H3*1/5,I3*1/5,J3*1/5)</f>
        <v>0.24688138529999998</v>
      </c>
      <c r="N3" s="58"/>
    </row>
    <row r="4" spans="1:15" x14ac:dyDescent="0.2">
      <c r="A4" s="1" t="s">
        <v>4</v>
      </c>
      <c r="B4" s="1" t="s">
        <v>7</v>
      </c>
      <c r="C4" s="60"/>
      <c r="D4" s="56"/>
      <c r="E4" s="56"/>
      <c r="F4" s="12">
        <v>2.2051773699999999E-2</v>
      </c>
      <c r="G4" s="12">
        <v>0</v>
      </c>
      <c r="H4" s="12">
        <v>0.2607861937</v>
      </c>
      <c r="I4" s="12">
        <v>0.53858249069999997</v>
      </c>
      <c r="J4" s="12">
        <v>0.40747926969999998</v>
      </c>
      <c r="K4" s="12">
        <f>SUM(F4*1/3,G4*1/3,I4*1/3)</f>
        <v>0.18687808813333334</v>
      </c>
      <c r="L4" s="12">
        <f>SUM(H4*1/2,J4*1/2)</f>
        <v>0.33413273170000002</v>
      </c>
      <c r="M4" s="12">
        <f>SUM(F4*1/5,G4*1/5,H4*1/5,I4*1/5,J4*1/5)</f>
        <v>0.24577994555999999</v>
      </c>
      <c r="N4" s="58"/>
    </row>
    <row r="6" spans="1:15" x14ac:dyDescent="0.2">
      <c r="A6" s="1" t="s">
        <v>2</v>
      </c>
      <c r="B6" s="1" t="s">
        <v>5</v>
      </c>
      <c r="C6" s="60" t="s">
        <v>42</v>
      </c>
      <c r="D6" s="56" t="s">
        <v>10</v>
      </c>
      <c r="E6" s="56" t="s">
        <v>13</v>
      </c>
      <c r="F6" s="12">
        <v>4.20578655E-2</v>
      </c>
      <c r="G6" s="12">
        <v>9.5803800000000003E-4</v>
      </c>
      <c r="H6" s="12">
        <v>0.1324008431</v>
      </c>
      <c r="I6" s="12">
        <v>0.50803699889999998</v>
      </c>
      <c r="J6" s="12">
        <v>0.38969019069999999</v>
      </c>
      <c r="K6" s="12">
        <f>SUM(F6*1/3,G6*1/3,I6*1/3)</f>
        <v>0.18368430080000001</v>
      </c>
      <c r="L6" s="12">
        <f>SUM(H6*1/2,J6*1/2)</f>
        <v>0.2610455169</v>
      </c>
      <c r="M6" s="12">
        <f>SUM(F6*1/5,G6*1/5,H6*1/5,I6*1/5,J6*1/5)</f>
        <v>0.21462878724000001</v>
      </c>
      <c r="N6" s="58" t="s">
        <v>16</v>
      </c>
    </row>
    <row r="7" spans="1:15" x14ac:dyDescent="0.2">
      <c r="A7" s="1" t="s">
        <v>3</v>
      </c>
      <c r="B7" s="1" t="s">
        <v>6</v>
      </c>
      <c r="C7" s="60"/>
      <c r="D7" s="56"/>
      <c r="E7" s="56"/>
      <c r="F7" s="12">
        <v>4.4165548999999998E-2</v>
      </c>
      <c r="G7" s="12">
        <v>2.2992910000000002E-3</v>
      </c>
      <c r="H7" s="12">
        <v>0.30312320370000001</v>
      </c>
      <c r="I7" s="12">
        <v>0.51790411849999995</v>
      </c>
      <c r="J7" s="12">
        <v>0.49842254940000003</v>
      </c>
      <c r="K7" s="12">
        <f>SUM(F7*1/3,G7*1/3,I7*1/3)</f>
        <v>0.18812298616666664</v>
      </c>
      <c r="L7" s="12">
        <f>SUM(H7*1/2,J7*1/2)</f>
        <v>0.40077287655000005</v>
      </c>
      <c r="M7" s="12">
        <f>SUM(F7*1/5,G7*1/5,H7*1/5,I7*1/5,J7*1/5)</f>
        <v>0.27318294232000001</v>
      </c>
      <c r="N7" s="58"/>
    </row>
    <row r="8" spans="1:15" x14ac:dyDescent="0.2">
      <c r="A8" s="1" t="s">
        <v>4</v>
      </c>
      <c r="B8" s="1" t="s">
        <v>7</v>
      </c>
      <c r="C8" s="60"/>
      <c r="D8" s="56"/>
      <c r="E8" s="56"/>
      <c r="F8" s="12">
        <v>3.7171872000000002E-2</v>
      </c>
      <c r="G8" s="12">
        <v>0</v>
      </c>
      <c r="H8" s="12">
        <v>0.3494922399</v>
      </c>
      <c r="I8" s="12">
        <v>0.49933204990000002</v>
      </c>
      <c r="J8" s="12">
        <v>0.42558599460000002</v>
      </c>
      <c r="K8" s="12">
        <f>SUM(F8*1/3,G8*1/3,I8*1/3)</f>
        <v>0.17883464063333332</v>
      </c>
      <c r="L8" s="12">
        <f>SUM(H8*1/2,J8*1/2)</f>
        <v>0.38753911725000001</v>
      </c>
      <c r="M8" s="12">
        <f>SUM(F8*1/5,G8*1/5,H8*1/5,I8*1/5,J8*1/5)</f>
        <v>0.26231643128000004</v>
      </c>
      <c r="N8" s="58"/>
    </row>
    <row r="10" spans="1:15" s="2" customFormat="1" x14ac:dyDescent="0.2">
      <c r="A10" s="61" t="s">
        <v>37</v>
      </c>
      <c r="B10" s="61"/>
      <c r="C10" s="61"/>
      <c r="D10" s="61"/>
      <c r="E10" s="5"/>
      <c r="F10" s="14"/>
      <c r="G10" s="14"/>
      <c r="H10" s="14"/>
      <c r="I10" s="14"/>
      <c r="J10" s="14"/>
      <c r="K10" s="14"/>
      <c r="L10" s="14"/>
      <c r="M10" s="14"/>
      <c r="N10" s="5"/>
    </row>
    <row r="12" spans="1:15" x14ac:dyDescent="0.2">
      <c r="A12" s="1" t="s">
        <v>2</v>
      </c>
      <c r="B12" s="1" t="s">
        <v>5</v>
      </c>
      <c r="C12" s="60" t="s">
        <v>43</v>
      </c>
      <c r="D12" s="56" t="s">
        <v>11</v>
      </c>
      <c r="E12" s="56" t="s">
        <v>17</v>
      </c>
      <c r="F12" s="12">
        <v>6.5771812099999993E-2</v>
      </c>
      <c r="G12" s="12">
        <v>2.3969319E-3</v>
      </c>
      <c r="H12" s="12">
        <v>0.49453499519999999</v>
      </c>
      <c r="I12" s="12">
        <v>0.55940591579999999</v>
      </c>
      <c r="J12" s="20">
        <v>0.51830085319999997</v>
      </c>
      <c r="K12" s="12">
        <f>SUM(F12*1/3,G12*1/3,I12*1/3)</f>
        <v>0.20919155326666666</v>
      </c>
      <c r="L12" s="12">
        <f>SUM(H12*1/2,J12*1/2)</f>
        <v>0.50641792419999998</v>
      </c>
      <c r="M12" s="12">
        <f>SUM(F12*1/5,G12*1/5,H12*1/5,I12*1/5,J12*1/5)</f>
        <v>0.32808210163999996</v>
      </c>
      <c r="N12" s="58" t="s">
        <v>18</v>
      </c>
    </row>
    <row r="13" spans="1:15" x14ac:dyDescent="0.2">
      <c r="A13" s="1" t="s">
        <v>3</v>
      </c>
      <c r="B13" s="1" t="s">
        <v>6</v>
      </c>
      <c r="C13" s="60"/>
      <c r="D13" s="56"/>
      <c r="E13" s="56"/>
      <c r="F13" s="12">
        <v>4.8897411E-3</v>
      </c>
      <c r="G13" s="12">
        <v>6.7114099999999999E-4</v>
      </c>
      <c r="H13" s="12">
        <v>0.28513902209999997</v>
      </c>
      <c r="I13" s="12">
        <v>0.50209830020000001</v>
      </c>
      <c r="J13" s="12">
        <v>0.48819923679999999</v>
      </c>
      <c r="K13" s="12">
        <f>SUM(F13*1/3,G13*1/3,I13*1/3)</f>
        <v>0.16921972743333333</v>
      </c>
      <c r="L13" s="12">
        <f>SUM(H13*1/2,J13*1/2)</f>
        <v>0.38666912944999998</v>
      </c>
      <c r="M13" s="12">
        <f>SUM(F13*1/5,G13*1/5,H13*1/5,I13*1/5,J13*1/5)</f>
        <v>0.25619948824</v>
      </c>
      <c r="N13" s="58"/>
    </row>
    <row r="14" spans="1:15" x14ac:dyDescent="0.2">
      <c r="A14" s="1" t="s">
        <v>4</v>
      </c>
      <c r="B14" s="1" t="s">
        <v>7</v>
      </c>
      <c r="C14" s="60"/>
      <c r="D14" s="56"/>
      <c r="E14" s="56"/>
      <c r="F14" s="12">
        <v>1.917546E-4</v>
      </c>
      <c r="G14" s="12">
        <v>1.4381591000000001E-3</v>
      </c>
      <c r="H14" s="12">
        <v>2.5503355700000001E-2</v>
      </c>
      <c r="I14" s="12">
        <v>0.50824655649999995</v>
      </c>
      <c r="J14" s="12">
        <v>0.46527030559999999</v>
      </c>
      <c r="K14" s="12">
        <f>SUM(F14*1/3,G14*1/3,I14*1/3)</f>
        <v>0.16995882339999999</v>
      </c>
      <c r="L14" s="12">
        <f>SUM(H14*1/2,J14*1/2)</f>
        <v>0.24538683065</v>
      </c>
      <c r="M14" s="12">
        <f>SUM(F14*1/5,G14*1/5,H14*1/5,I14*1/5,J14*1/5)</f>
        <v>0.20013002629999999</v>
      </c>
      <c r="N14" s="58"/>
    </row>
    <row r="16" spans="1:15" x14ac:dyDescent="0.2">
      <c r="A16" s="1" t="s">
        <v>2</v>
      </c>
      <c r="B16" s="1" t="s">
        <v>5</v>
      </c>
      <c r="C16" s="60" t="s">
        <v>44</v>
      </c>
      <c r="D16" s="56" t="s">
        <v>19</v>
      </c>
      <c r="E16" s="56" t="s">
        <v>27</v>
      </c>
      <c r="F16" s="12">
        <v>4.5445829299999997E-2</v>
      </c>
      <c r="G16" s="12">
        <v>6.6155322000000004E-3</v>
      </c>
      <c r="H16" s="12">
        <v>0.45714285710000002</v>
      </c>
      <c r="I16" s="12">
        <v>0.70717096769999999</v>
      </c>
      <c r="J16" s="12">
        <v>0.50964245389999996</v>
      </c>
      <c r="K16" s="12">
        <f>SUM(F16*1/3,G16*1/3,I16*1/3)</f>
        <v>0.25307744306666669</v>
      </c>
      <c r="L16" s="12">
        <f>SUM(H16*1/2,J16*1/2)</f>
        <v>0.48339265549999999</v>
      </c>
      <c r="M16" s="12">
        <f>SUM(F16*1/5,G16*1/5,H16*1/5,I16*1/5,J16*1/5)</f>
        <v>0.34520352803999999</v>
      </c>
      <c r="N16" s="58" t="s">
        <v>36</v>
      </c>
    </row>
    <row r="17" spans="1:14" x14ac:dyDescent="0.2">
      <c r="A17" s="1" t="s">
        <v>3</v>
      </c>
      <c r="B17" s="1" t="s">
        <v>6</v>
      </c>
      <c r="C17" s="60"/>
      <c r="D17" s="56"/>
      <c r="E17" s="56"/>
      <c r="F17" s="12">
        <v>2.85714286E-2</v>
      </c>
      <c r="G17" s="12">
        <v>1.9175456000000001E-3</v>
      </c>
      <c r="H17" s="12">
        <v>0.45043144769999999</v>
      </c>
      <c r="I17" s="12">
        <v>0.74414334049999997</v>
      </c>
      <c r="J17" s="12">
        <v>0.46137624570000002</v>
      </c>
      <c r="K17" s="12">
        <f>SUM(F17*1/3,G17*1/3,I17*1/3)</f>
        <v>0.25821077156666666</v>
      </c>
      <c r="L17" s="12">
        <f>SUM(H17*1/2,J17*1/2)</f>
        <v>0.4559038467</v>
      </c>
      <c r="M17" s="12">
        <f>SUM(F17*1/5,G17*1/5,H17*1/5,I17*1/5,J17*1/5)</f>
        <v>0.33728800162</v>
      </c>
      <c r="N17" s="58"/>
    </row>
    <row r="18" spans="1:14" x14ac:dyDescent="0.2">
      <c r="A18" s="1" t="s">
        <v>4</v>
      </c>
      <c r="B18" s="1" t="s">
        <v>7</v>
      </c>
      <c r="C18" s="60"/>
      <c r="D18" s="56"/>
      <c r="E18" s="56"/>
      <c r="F18" s="12">
        <v>3.8350910000000001E-4</v>
      </c>
      <c r="G18" s="12">
        <v>1.3422817999999999E-3</v>
      </c>
      <c r="H18" s="20">
        <v>0.79022051770000001</v>
      </c>
      <c r="I18" s="12">
        <v>0.49764374880000001</v>
      </c>
      <c r="J18" s="12">
        <v>0.48742542859999999</v>
      </c>
      <c r="K18" s="12">
        <f>SUM(F18*1/3,G18*1/3,I18*1/3)</f>
        <v>0.16645651323333333</v>
      </c>
      <c r="L18" s="20">
        <f>SUM(H18*1/2,J18*1/2)</f>
        <v>0.63882297315000003</v>
      </c>
      <c r="M18" s="12">
        <f>SUM(F18*1/5,G18*1/5,H18*1/5,I18*1/5,J18*1/5)</f>
        <v>0.35540309720000007</v>
      </c>
      <c r="N18" s="58"/>
    </row>
    <row r="20" spans="1:14" x14ac:dyDescent="0.2">
      <c r="A20" s="1" t="s">
        <v>2</v>
      </c>
      <c r="B20" s="1" t="s">
        <v>5</v>
      </c>
      <c r="C20" s="60" t="s">
        <v>45</v>
      </c>
      <c r="D20" s="56" t="s">
        <v>20</v>
      </c>
      <c r="E20" s="56" t="s">
        <v>28</v>
      </c>
      <c r="F20" s="12">
        <v>7.2003835099999997E-2</v>
      </c>
      <c r="G20" s="12">
        <v>7.3825504E-3</v>
      </c>
      <c r="H20" s="12">
        <v>0.3771812081</v>
      </c>
      <c r="I20" s="12">
        <v>0.74268293880000003</v>
      </c>
      <c r="J20" s="12">
        <v>0.45190041990000002</v>
      </c>
      <c r="K20" s="12">
        <f>SUM(F20*1/3,G20*1/3,I20*1/3)</f>
        <v>0.27402310810000002</v>
      </c>
      <c r="L20" s="12">
        <f>SUM(H20*1/2,J20*1/2)</f>
        <v>0.41454081399999998</v>
      </c>
      <c r="M20" s="12">
        <f>SUM(F20*1/5,G20*1/5,H20*1/5,I20*1/5,J20*1/5)</f>
        <v>0.33023019046000002</v>
      </c>
      <c r="N20" s="58" t="s">
        <v>35</v>
      </c>
    </row>
    <row r="21" spans="1:14" x14ac:dyDescent="0.2">
      <c r="A21" s="1" t="s">
        <v>3</v>
      </c>
      <c r="B21" s="1" t="s">
        <v>6</v>
      </c>
      <c r="C21" s="60"/>
      <c r="D21" s="56"/>
      <c r="E21" s="56"/>
      <c r="F21" s="12">
        <v>8.59060403E-2</v>
      </c>
      <c r="G21" s="12">
        <v>5.7526370000000003E-4</v>
      </c>
      <c r="H21" s="12">
        <v>0.59731543620000005</v>
      </c>
      <c r="I21" s="12">
        <v>0.8594864566</v>
      </c>
      <c r="J21" s="12">
        <v>0.43209071430000001</v>
      </c>
      <c r="K21" s="12">
        <f>SUM(F21*1/3,G21*1/3,I21*1/3)</f>
        <v>0.31532258686666664</v>
      </c>
      <c r="L21" s="12">
        <f>SUM(H21*1/2,J21*1/2)</f>
        <v>0.51470307525000003</v>
      </c>
      <c r="M21" s="20">
        <f>SUM(F21*1/5,G21*1/5,H21*1/5,I21*1/5,J21*1/5)</f>
        <v>0.39507478221999998</v>
      </c>
      <c r="N21" s="58"/>
    </row>
    <row r="22" spans="1:14" x14ac:dyDescent="0.2">
      <c r="A22" s="1" t="s">
        <v>4</v>
      </c>
      <c r="B22" s="1" t="s">
        <v>7</v>
      </c>
      <c r="C22" s="60"/>
      <c r="D22" s="56"/>
      <c r="E22" s="56"/>
      <c r="F22" s="12">
        <v>3.8350910000000001E-4</v>
      </c>
      <c r="G22" s="12">
        <v>1.1505274000000001E-3</v>
      </c>
      <c r="H22" s="12">
        <v>0.4678811122</v>
      </c>
      <c r="I22" s="12">
        <v>0.50554854299999996</v>
      </c>
      <c r="J22" s="12">
        <v>0.48466990739999999</v>
      </c>
      <c r="K22" s="12">
        <f>SUM(F22*1/3,G22*1/3,I22*1/3)</f>
        <v>0.1690275265</v>
      </c>
      <c r="L22" s="12">
        <f>SUM(H22*1/2,J22*1/2)</f>
        <v>0.4762755098</v>
      </c>
      <c r="M22" s="12">
        <f>SUM(F22*1/5,G22*1/5,H22*1/5,I22*1/5,J22*1/5)</f>
        <v>0.29192671981999996</v>
      </c>
      <c r="N22" s="58"/>
    </row>
    <row r="24" spans="1:14" x14ac:dyDescent="0.2">
      <c r="A24" s="1" t="s">
        <v>2</v>
      </c>
      <c r="B24" s="1" t="s">
        <v>5</v>
      </c>
      <c r="C24" s="60" t="s">
        <v>46</v>
      </c>
      <c r="D24" s="56" t="s">
        <v>21</v>
      </c>
      <c r="E24" s="56" t="s">
        <v>32</v>
      </c>
      <c r="F24" s="12">
        <v>5.5704697999999997E-2</v>
      </c>
      <c r="G24" s="12">
        <v>4.4103546999999998E-3</v>
      </c>
      <c r="H24" s="12">
        <v>0.32636625120000001</v>
      </c>
      <c r="I24" s="12">
        <v>0.6999883965</v>
      </c>
      <c r="J24" s="12">
        <v>0.44519748980000001</v>
      </c>
      <c r="K24" s="12">
        <f>SUM(F24*1/3,G24*1/3,I24*1/3)</f>
        <v>0.2533678164</v>
      </c>
      <c r="L24" s="12">
        <f>SUM(H24*1/2,J24*1/2)</f>
        <v>0.38578187050000001</v>
      </c>
      <c r="M24" s="12">
        <f>SUM(F24*1/5,G24*1/5,H24*1/5,I24*1/5,J24*1/5)</f>
        <v>0.30633343804000002</v>
      </c>
    </row>
    <row r="25" spans="1:14" x14ac:dyDescent="0.2">
      <c r="A25" s="1" t="s">
        <v>3</v>
      </c>
      <c r="B25" s="1" t="s">
        <v>6</v>
      </c>
      <c r="C25" s="60"/>
      <c r="D25" s="56"/>
      <c r="E25" s="56"/>
      <c r="F25" s="12">
        <v>1.04506232E-2</v>
      </c>
      <c r="G25" s="12">
        <v>3.9309682999999996E-3</v>
      </c>
      <c r="H25" s="12">
        <v>0.42320230110000001</v>
      </c>
      <c r="I25" s="12">
        <v>0.61751341709999996</v>
      </c>
      <c r="J25" s="12">
        <v>0.48597102069999998</v>
      </c>
      <c r="K25" s="12">
        <f>SUM(F25*1/3,G25*1/3,I25*1/3)</f>
        <v>0.21063166953333332</v>
      </c>
      <c r="L25" s="12">
        <f>SUM(H25*1/2,J25*1/2)</f>
        <v>0.45458666089999999</v>
      </c>
      <c r="M25" s="12">
        <f>SUM(F25*1/5,G25*1/5,H25*1/5,I25*1/5,J25*1/5)</f>
        <v>0.30821366608</v>
      </c>
    </row>
    <row r="26" spans="1:14" x14ac:dyDescent="0.2">
      <c r="A26" s="1" t="s">
        <v>4</v>
      </c>
      <c r="B26" s="1" t="s">
        <v>7</v>
      </c>
      <c r="C26" s="60"/>
      <c r="D26" s="56"/>
      <c r="E26" s="56"/>
      <c r="F26" s="12">
        <v>2.876318E-4</v>
      </c>
      <c r="G26" s="12">
        <v>1.9175455000000001E-3</v>
      </c>
      <c r="H26" s="12">
        <v>2.5503355700000001E-2</v>
      </c>
      <c r="I26" s="12">
        <v>0.50272315249999999</v>
      </c>
      <c r="J26" s="12">
        <v>0.47244179800000002</v>
      </c>
      <c r="K26" s="12">
        <f>SUM(F26*1/3,G26*1/3,I26*1/3)</f>
        <v>0.16830944326666666</v>
      </c>
      <c r="L26" s="12">
        <f>SUM(H26*1/2,J26*1/2)</f>
        <v>0.24897257685000002</v>
      </c>
      <c r="M26" s="12">
        <f>SUM(F26*1/5,G26*1/5,H26*1/5,I26*1/5,J26*1/5)</f>
        <v>0.2005746967</v>
      </c>
    </row>
    <row r="28" spans="1:14" x14ac:dyDescent="0.2">
      <c r="A28" s="1" t="s">
        <v>2</v>
      </c>
      <c r="B28" s="1" t="s">
        <v>5</v>
      </c>
      <c r="C28" s="60" t="s">
        <v>47</v>
      </c>
      <c r="D28" s="56" t="s">
        <v>22</v>
      </c>
      <c r="E28" s="56" t="s">
        <v>33</v>
      </c>
      <c r="F28" s="12">
        <v>5.2828379699999997E-2</v>
      </c>
      <c r="G28" s="12">
        <v>3.8350911000000001E-3</v>
      </c>
      <c r="H28" s="12">
        <v>0.37583892619999998</v>
      </c>
      <c r="I28" s="12">
        <v>0.69028312150000004</v>
      </c>
      <c r="J28" s="12">
        <v>0.46388489960000001</v>
      </c>
      <c r="K28" s="12">
        <f>SUM(F28*1/3,G28*1/3,I28*1/3)</f>
        <v>0.24898219743333333</v>
      </c>
      <c r="L28" s="12">
        <f>SUM(H28*1/2,J28*1/2)</f>
        <v>0.41986191289999997</v>
      </c>
      <c r="M28" s="12">
        <f>SUM(F28*1/5,G28*1/5,H28*1/5,I28*1/5,J28*1/5)</f>
        <v>0.31733408362000004</v>
      </c>
    </row>
    <row r="29" spans="1:14" x14ac:dyDescent="0.2">
      <c r="A29" s="1" t="s">
        <v>3</v>
      </c>
      <c r="B29" s="1" t="s">
        <v>6</v>
      </c>
      <c r="C29" s="60"/>
      <c r="D29" s="56"/>
      <c r="E29" s="56"/>
      <c r="F29" s="12">
        <v>5.7526366000000004E-3</v>
      </c>
      <c r="G29" s="12">
        <v>4.3144773999999999E-3</v>
      </c>
      <c r="H29" s="12">
        <v>0.37257909880000001</v>
      </c>
      <c r="I29" s="12">
        <v>0.59623182129999996</v>
      </c>
      <c r="J29" s="12">
        <v>0.47859825140000001</v>
      </c>
      <c r="K29" s="12">
        <f>SUM(F29*1/3,G29*1/3,I29*1/3)</f>
        <v>0.20209964509999997</v>
      </c>
      <c r="L29" s="12">
        <f>SUM(H29*1/2,J29*1/2)</f>
        <v>0.42558867509999998</v>
      </c>
      <c r="M29" s="12">
        <f>SUM(F29*1/5,G29*1/5,H29*1/5,I29*1/5,J29*1/5)</f>
        <v>0.29149525710000002</v>
      </c>
    </row>
    <row r="30" spans="1:14" x14ac:dyDescent="0.2">
      <c r="A30" s="1" t="s">
        <v>4</v>
      </c>
      <c r="B30" s="1" t="s">
        <v>7</v>
      </c>
      <c r="C30" s="60"/>
      <c r="D30" s="56"/>
      <c r="E30" s="56"/>
      <c r="F30" s="12">
        <v>9.5877299999999998E-5</v>
      </c>
      <c r="G30" s="12">
        <v>2.2051774000000001E-3</v>
      </c>
      <c r="H30" s="12">
        <v>0.67516778519999998</v>
      </c>
      <c r="I30" s="12">
        <v>0.4935165554</v>
      </c>
      <c r="J30" s="12">
        <v>0.48308613979999998</v>
      </c>
      <c r="K30" s="12">
        <f>SUM(F30*1/3,G30*1/3,I30*1/3)</f>
        <v>0.1652725367</v>
      </c>
      <c r="L30" s="12">
        <f>SUM(H30*1/2,J30*1/2)</f>
        <v>0.57912696249999995</v>
      </c>
      <c r="M30" s="12">
        <f>SUM(F30*1/5,G30*1/5,H30*1/5,I30*1/5,J30*1/5)</f>
        <v>0.33081430702000003</v>
      </c>
    </row>
    <row r="32" spans="1:14" x14ac:dyDescent="0.2">
      <c r="A32" s="1" t="s">
        <v>2</v>
      </c>
      <c r="B32" s="1" t="s">
        <v>5</v>
      </c>
      <c r="C32" s="60" t="s">
        <v>48</v>
      </c>
      <c r="D32" s="56" t="s">
        <v>23</v>
      </c>
      <c r="E32" s="56" t="s">
        <v>29</v>
      </c>
      <c r="F32" s="12">
        <v>6.1553211900000002E-2</v>
      </c>
      <c r="G32" s="12">
        <v>4.6979865999999997E-3</v>
      </c>
      <c r="H32" s="12">
        <v>0.47286673060000001</v>
      </c>
      <c r="I32" s="12">
        <v>0.83432698849999998</v>
      </c>
      <c r="J32" s="12">
        <v>0.44045914829999999</v>
      </c>
      <c r="K32" s="12">
        <f>SUM(F32*1/3,G32*1/3,I32*1/3)</f>
        <v>0.30019272899999999</v>
      </c>
      <c r="L32" s="12">
        <f>SUM(H32*1/2,J32*1/2)</f>
        <v>0.45666293945000003</v>
      </c>
      <c r="M32" s="12">
        <f>SUM(F32*1/5,G32*1/5,H32*1/5,I32*1/5,J32*1/5)</f>
        <v>0.36278081317999999</v>
      </c>
    </row>
    <row r="33" spans="1:14" x14ac:dyDescent="0.2">
      <c r="A33" s="1" t="s">
        <v>3</v>
      </c>
      <c r="B33" s="1" t="s">
        <v>6</v>
      </c>
      <c r="C33" s="60"/>
      <c r="D33" s="56"/>
      <c r="E33" s="56"/>
      <c r="F33" s="12">
        <v>7.6701821700000006E-2</v>
      </c>
      <c r="G33" s="12">
        <v>5.1773729999999999E-3</v>
      </c>
      <c r="H33" s="12">
        <v>0.4302972196</v>
      </c>
      <c r="I33" s="20">
        <v>0.90418992629999995</v>
      </c>
      <c r="J33" s="12">
        <v>0.3758758888</v>
      </c>
      <c r="K33" s="20">
        <f>SUM(F33*1/3,G33*1/3,I33*1/3)</f>
        <v>0.328689707</v>
      </c>
      <c r="L33" s="12">
        <f>SUM(H33*1/2,J33*1/2)</f>
        <v>0.4030865542</v>
      </c>
      <c r="M33" s="12">
        <f>SUM(F33*1/5,G33*1/5,H33*1/5,I33*1/5,J33*1/5)</f>
        <v>0.35844844587999997</v>
      </c>
    </row>
    <row r="34" spans="1:14" x14ac:dyDescent="0.2">
      <c r="A34" s="1" t="s">
        <v>4</v>
      </c>
      <c r="B34" s="1" t="s">
        <v>7</v>
      </c>
      <c r="C34" s="60"/>
      <c r="D34" s="56"/>
      <c r="E34" s="56"/>
      <c r="F34" s="12">
        <v>1.917546E-4</v>
      </c>
      <c r="G34" s="12">
        <v>1.5340364E-3</v>
      </c>
      <c r="H34" s="12">
        <v>0.32617449659999997</v>
      </c>
      <c r="I34" s="12">
        <v>0.49067845249999997</v>
      </c>
      <c r="J34" s="12">
        <v>0.48153125829999999</v>
      </c>
      <c r="K34" s="12">
        <f>SUM(F34*1/3,G34*1/3,I34*1/3)</f>
        <v>0.16413474783333332</v>
      </c>
      <c r="L34" s="12">
        <f>SUM(H34*1/2,J34*1/2)</f>
        <v>0.40385287744999998</v>
      </c>
      <c r="M34" s="12">
        <f>SUM(F34*1/5,G34*1/5,H34*1/5,I34*1/5,J34*1/5)</f>
        <v>0.26002199968</v>
      </c>
    </row>
    <row r="36" spans="1:14" x14ac:dyDescent="0.2">
      <c r="A36" s="1" t="s">
        <v>2</v>
      </c>
      <c r="B36" s="1" t="s">
        <v>5</v>
      </c>
      <c r="C36" s="60" t="s">
        <v>49</v>
      </c>
      <c r="D36" s="56" t="s">
        <v>24</v>
      </c>
      <c r="E36" s="56" t="s">
        <v>34</v>
      </c>
      <c r="F36" s="12">
        <v>4.53499521E-2</v>
      </c>
      <c r="G36" s="12">
        <v>9.7794822E-3</v>
      </c>
      <c r="H36" s="12">
        <v>0.39827420899999999</v>
      </c>
      <c r="I36" s="12">
        <v>0.79343004689999996</v>
      </c>
      <c r="J36" s="12">
        <v>0.42229783360000001</v>
      </c>
      <c r="K36" s="12">
        <f>SUM(F36*1/3,G36*1/3,I36*1/3)</f>
        <v>0.28285316039999997</v>
      </c>
      <c r="L36" s="12">
        <f>SUM(H36*1/2,J36*1/2)</f>
        <v>0.41028602130000003</v>
      </c>
      <c r="M36" s="12">
        <f>SUM(F36*1/5,G36*1/5,H36*1/5,I36*1/5,J36*1/5)</f>
        <v>0.33382630475999997</v>
      </c>
    </row>
    <row r="37" spans="1:14" x14ac:dyDescent="0.2">
      <c r="A37" s="1" t="s">
        <v>3</v>
      </c>
      <c r="B37" s="1" t="s">
        <v>6</v>
      </c>
      <c r="C37" s="60"/>
      <c r="D37" s="56"/>
      <c r="E37" s="56"/>
      <c r="F37" s="12">
        <v>1.0546500000000001E-3</v>
      </c>
      <c r="G37" s="12">
        <v>2.4928093E-3</v>
      </c>
      <c r="H37" s="12">
        <v>0.36970278039999999</v>
      </c>
      <c r="I37" s="12">
        <v>0.49925761699999999</v>
      </c>
      <c r="J37" s="12">
        <v>0.47275161110000002</v>
      </c>
      <c r="K37" s="12">
        <f>SUM(F37*1/3,G37*1/3,I37*1/3)</f>
        <v>0.16760169209999998</v>
      </c>
      <c r="L37" s="12">
        <f>SUM(H37*1/2,J37*1/2)</f>
        <v>0.42122719575000001</v>
      </c>
      <c r="M37" s="12">
        <f>SUM(F37*1/5,G37*1/5,H37*1/5,I37*1/5,J37*1/5)</f>
        <v>0.26905189356000003</v>
      </c>
    </row>
    <row r="38" spans="1:14" x14ac:dyDescent="0.2">
      <c r="A38" s="1" t="s">
        <v>4</v>
      </c>
      <c r="B38" s="1" t="s">
        <v>7</v>
      </c>
      <c r="C38" s="60"/>
      <c r="D38" s="56"/>
      <c r="E38" s="56"/>
      <c r="F38" s="12">
        <v>1.917546E-4</v>
      </c>
      <c r="G38" s="12">
        <v>1.5340365000000001E-3</v>
      </c>
      <c r="H38" s="12">
        <v>0.77392138060000004</v>
      </c>
      <c r="I38" s="12">
        <v>0.49696577879999998</v>
      </c>
      <c r="J38" s="12">
        <v>0.48572782920000002</v>
      </c>
      <c r="K38" s="12">
        <f>SUM(F38*1/3,G38*1/3,I38*1/3)</f>
        <v>0.16623052329999999</v>
      </c>
      <c r="L38" s="12">
        <f>SUM(H38*1/2,J38*1/2)</f>
        <v>0.62982460490000003</v>
      </c>
      <c r="M38" s="12">
        <f>SUM(F38*1/5,G38*1/5,H38*1/5,I38*1/5,J38*1/5)</f>
        <v>0.35166815594</v>
      </c>
    </row>
    <row r="40" spans="1:14" s="2" customFormat="1" x14ac:dyDescent="0.2">
      <c r="A40" s="61" t="s">
        <v>38</v>
      </c>
      <c r="B40" s="61"/>
      <c r="C40" s="61"/>
      <c r="D40" s="61"/>
      <c r="E40" s="5"/>
      <c r="F40" s="14"/>
      <c r="G40" s="14"/>
      <c r="H40" s="14"/>
      <c r="I40" s="14"/>
      <c r="J40" s="14"/>
      <c r="K40" s="14"/>
      <c r="L40" s="14"/>
      <c r="M40" s="14"/>
      <c r="N40" s="5"/>
    </row>
    <row r="42" spans="1:14" x14ac:dyDescent="0.2">
      <c r="A42" s="1" t="s">
        <v>2</v>
      </c>
      <c r="B42" s="1" t="s">
        <v>5</v>
      </c>
      <c r="C42" s="60" t="s">
        <v>50</v>
      </c>
      <c r="D42" s="56" t="s">
        <v>25</v>
      </c>
      <c r="E42" s="56" t="s">
        <v>27</v>
      </c>
      <c r="F42" s="12">
        <v>3.33397203E-2</v>
      </c>
      <c r="G42" s="12">
        <v>3.3531327999999998E-3</v>
      </c>
      <c r="H42" s="12">
        <v>0.39394520020000001</v>
      </c>
      <c r="I42" s="12">
        <v>0.66282251810000004</v>
      </c>
      <c r="J42" s="12">
        <v>0.47587735599999997</v>
      </c>
      <c r="K42" s="12">
        <f>SUM(F42*1/3,G42*1/3,I42*1/3)</f>
        <v>0.2331717904</v>
      </c>
      <c r="L42" s="12">
        <f>SUM(H42*1/2,J42*1/2)</f>
        <v>0.43491127809999997</v>
      </c>
      <c r="M42" s="12">
        <f>SUM(F42*1/5,G42*1/5,H42*1/5,I42*1/5,J42*1/5)</f>
        <v>0.31386758548000004</v>
      </c>
      <c r="N42" s="58" t="s">
        <v>30</v>
      </c>
    </row>
    <row r="43" spans="1:14" x14ac:dyDescent="0.2">
      <c r="A43" s="1" t="s">
        <v>3</v>
      </c>
      <c r="B43" s="1" t="s">
        <v>6</v>
      </c>
      <c r="C43" s="60"/>
      <c r="D43" s="56"/>
      <c r="E43" s="56"/>
      <c r="F43" s="12">
        <v>2.93159609E-2</v>
      </c>
      <c r="G43" s="12">
        <v>3.5447403999999999E-3</v>
      </c>
      <c r="H43" s="12">
        <v>0.33148112670000002</v>
      </c>
      <c r="I43" s="12">
        <v>0.63471454110000003</v>
      </c>
      <c r="J43" s="12">
        <v>0.46225641890000002</v>
      </c>
      <c r="K43" s="12">
        <f>SUM(F43*1/3,G43*1/3,I43*1/3)</f>
        <v>0.22252508080000002</v>
      </c>
      <c r="L43" s="12">
        <f>SUM(H43*1/2,J43*1/2)</f>
        <v>0.39686877279999999</v>
      </c>
      <c r="M43" s="12">
        <f>SUM(F43*1/5,G43*1/5,H43*1/5,I43*1/5,J43*1/5)</f>
        <v>0.29226255760000003</v>
      </c>
      <c r="N43" s="58"/>
    </row>
    <row r="44" spans="1:14" x14ac:dyDescent="0.2">
      <c r="A44" s="1" t="s">
        <v>4</v>
      </c>
      <c r="B44" s="1" t="s">
        <v>7</v>
      </c>
      <c r="C44" s="60"/>
      <c r="D44" s="56"/>
      <c r="E44" s="56"/>
      <c r="F44" s="15">
        <v>9.5803800000000006E-5</v>
      </c>
      <c r="G44" s="12">
        <v>1.6286645000000001E-3</v>
      </c>
      <c r="H44" s="12">
        <v>0.72868365589999995</v>
      </c>
      <c r="I44" s="12">
        <v>0.49091622530000001</v>
      </c>
      <c r="J44" s="12">
        <v>0.49152655340000001</v>
      </c>
      <c r="K44" s="12">
        <f>SUM(F44*1/3,G44*1/3,I44*1/3)</f>
        <v>0.16421356453333336</v>
      </c>
      <c r="L44" s="12">
        <f>SUM(H44*1/2,J44*1/2)</f>
        <v>0.61010510465000001</v>
      </c>
      <c r="M44" s="12">
        <f>SUM(F44*1/5,G44*1/5,H44*1/5,I44*1/5,J44*1/5)</f>
        <v>0.34257018057999999</v>
      </c>
      <c r="N44" s="58"/>
    </row>
    <row r="46" spans="1:14" x14ac:dyDescent="0.2">
      <c r="A46" s="1" t="s">
        <v>2</v>
      </c>
      <c r="B46" s="1" t="s">
        <v>5</v>
      </c>
      <c r="C46" s="60" t="s">
        <v>51</v>
      </c>
      <c r="D46" s="56" t="s">
        <v>26</v>
      </c>
      <c r="E46" s="56" t="s">
        <v>28</v>
      </c>
      <c r="F46" s="12">
        <v>6.1027016699999999E-2</v>
      </c>
      <c r="G46" s="20">
        <v>1.2550297E-2</v>
      </c>
      <c r="H46" s="12">
        <v>0.28721977389999997</v>
      </c>
      <c r="I46" s="12">
        <v>0.74670598939999999</v>
      </c>
      <c r="J46" s="12">
        <v>0.4446678791</v>
      </c>
      <c r="K46" s="12">
        <f>SUM(F46*1/3,G46*1/3,I46*1/3)</f>
        <v>0.27342776769999999</v>
      </c>
      <c r="L46" s="12">
        <f>SUM(H46*1/2,J46*1/2)</f>
        <v>0.36594382650000001</v>
      </c>
      <c r="M46" s="12">
        <f>SUM(F46*1/5,G46*1/5,H46*1/5,I46*1/5,J46*1/5)</f>
        <v>0.31043419121999999</v>
      </c>
      <c r="N46" s="58" t="s">
        <v>31</v>
      </c>
    </row>
    <row r="47" spans="1:14" x14ac:dyDescent="0.2">
      <c r="A47" s="1" t="s">
        <v>3</v>
      </c>
      <c r="B47" s="1" t="s">
        <v>6</v>
      </c>
      <c r="C47" s="60"/>
      <c r="D47" s="56"/>
      <c r="E47" s="56"/>
      <c r="F47" s="12">
        <v>5.5853611800000001E-2</v>
      </c>
      <c r="G47" s="12">
        <v>2.1076835000000001E-3</v>
      </c>
      <c r="H47" s="12">
        <v>0.59417512930000005</v>
      </c>
      <c r="I47" s="12">
        <v>0.81578619870000002</v>
      </c>
      <c r="J47" s="12">
        <v>0.46039752070000001</v>
      </c>
      <c r="K47" s="12">
        <f>SUM(F47*1/3,G47*1/3,I47*1/3)</f>
        <v>0.29124916466666667</v>
      </c>
      <c r="L47" s="12">
        <f>SUM(H47*1/2,J47*1/2)</f>
        <v>0.52728632500000006</v>
      </c>
      <c r="M47" s="12">
        <f>SUM(F47*1/5,G47*1/5,H47*1/5,I47*1/5,J47*1/5)</f>
        <v>0.38566402880000006</v>
      </c>
      <c r="N47" s="58"/>
    </row>
    <row r="48" spans="1:14" x14ac:dyDescent="0.2">
      <c r="A48" s="1" t="s">
        <v>4</v>
      </c>
      <c r="B48" s="1" t="s">
        <v>7</v>
      </c>
      <c r="C48" s="60"/>
      <c r="D48" s="56"/>
      <c r="E48" s="56"/>
      <c r="F48" s="12">
        <v>9.5803800000000006E-5</v>
      </c>
      <c r="G48" s="12">
        <v>1.7244682999999999E-3</v>
      </c>
      <c r="H48" s="12">
        <v>0.34086989839999998</v>
      </c>
      <c r="I48" s="12">
        <v>0.52181910850000002</v>
      </c>
      <c r="J48" s="12">
        <v>0.46620327220000002</v>
      </c>
      <c r="K48" s="12">
        <f>SUM(F48*1/3,G48*1/3,I48*1/3)</f>
        <v>0.1745464602</v>
      </c>
      <c r="L48" s="12">
        <f>SUM(H48*1/2,J48*1/2)</f>
        <v>0.40353658530000003</v>
      </c>
      <c r="M48" s="12">
        <f>SUM(F48*1/5,G48*1/5,H48*1/5,I48*1/5,J48*1/5)</f>
        <v>0.26614251024000002</v>
      </c>
      <c r="N48" s="58"/>
    </row>
    <row r="50" spans="1:14" x14ac:dyDescent="0.2">
      <c r="A50" s="1" t="s">
        <v>2</v>
      </c>
      <c r="B50" s="1" t="s">
        <v>5</v>
      </c>
      <c r="C50" s="60" t="s">
        <v>52</v>
      </c>
      <c r="D50" s="56" t="s">
        <v>39</v>
      </c>
      <c r="E50" s="56" t="s">
        <v>29</v>
      </c>
      <c r="F50" s="12">
        <v>1.9160760000000001E-4</v>
      </c>
      <c r="G50" s="12">
        <v>2.2034872000000001E-3</v>
      </c>
      <c r="H50" s="12">
        <v>3.1998467099999997E-2</v>
      </c>
      <c r="I50" s="12">
        <v>0.39272417920000002</v>
      </c>
      <c r="J50" s="12">
        <v>0.34620542589999997</v>
      </c>
      <c r="K50" s="12">
        <f>SUM(F50*1/3,G50*1/3,I50*1/3)</f>
        <v>0.13170642466666665</v>
      </c>
      <c r="L50" s="12">
        <f>SUM(H50*1/2,J50*1/2)</f>
        <v>0.18910194649999998</v>
      </c>
      <c r="M50" s="12">
        <f>SUM(F50*1/5,G50*1/5,H50*1/5,I50*1/5,J50*1/5)</f>
        <v>0.1546646334</v>
      </c>
    </row>
    <row r="51" spans="1:14" x14ac:dyDescent="0.2">
      <c r="A51" s="1" t="s">
        <v>3</v>
      </c>
      <c r="B51" s="1" t="s">
        <v>6</v>
      </c>
      <c r="C51" s="60"/>
      <c r="D51" s="56"/>
      <c r="E51" s="56"/>
      <c r="F51" s="12">
        <v>4.4452960299999997E-2</v>
      </c>
      <c r="G51" s="12">
        <v>2.8741139999999998E-4</v>
      </c>
      <c r="H51" s="12">
        <v>0.53918375169999999</v>
      </c>
      <c r="I51" s="12">
        <v>0.8902503168</v>
      </c>
      <c r="J51" s="12">
        <v>0.40300200349999998</v>
      </c>
      <c r="K51" s="12">
        <f>SUM(F51*1/3,G51*1/3,I51*1/3)</f>
        <v>0.3116635628333333</v>
      </c>
      <c r="L51" s="12">
        <f>SUM(H51*1/2,J51*1/2)</f>
        <v>0.47109287759999996</v>
      </c>
      <c r="M51" s="12">
        <f>SUM(F51*1/5,G51*1/5,H51*1/5,I51*1/5,J51*1/5)</f>
        <v>0.37543528873999998</v>
      </c>
    </row>
    <row r="52" spans="1:14" x14ac:dyDescent="0.2">
      <c r="A52" s="1" t="s">
        <v>4</v>
      </c>
      <c r="B52" s="1" t="s">
        <v>7</v>
      </c>
      <c r="C52" s="60"/>
      <c r="D52" s="56"/>
      <c r="E52" s="56"/>
      <c r="F52" s="15">
        <v>0</v>
      </c>
      <c r="G52" s="12">
        <v>3.4489365999999999E-3</v>
      </c>
      <c r="H52" s="12">
        <v>2.5867024299999999E-2</v>
      </c>
      <c r="I52" s="12">
        <v>0.47478388980000003</v>
      </c>
      <c r="J52" s="12">
        <v>0.46033189099999999</v>
      </c>
      <c r="K52" s="12">
        <f>SUM(F52*1/3,G52*1/3,I52*1/3)</f>
        <v>0.15941094213333334</v>
      </c>
      <c r="L52" s="12">
        <f>SUM(H52*1/2,J52*1/2)</f>
        <v>0.24309945764999999</v>
      </c>
      <c r="M52" s="12">
        <f>SUM(F52*1/5,G52*1/5,H52*1/5,I52*1/5,J52*1/5)</f>
        <v>0.19288634834000001</v>
      </c>
    </row>
    <row r="55" spans="1:14" s="16" customFormat="1" x14ac:dyDescent="0.2">
      <c r="A55" s="70" t="s">
        <v>60</v>
      </c>
      <c r="B55" s="70"/>
      <c r="C55" s="70"/>
      <c r="D55" s="70"/>
      <c r="E55" s="17"/>
      <c r="F55" s="18">
        <f t="shared" ref="F55:M55" si="0">MAX(F2:F52)</f>
        <v>9.1179290499999996E-2</v>
      </c>
      <c r="G55" s="18">
        <f t="shared" si="0"/>
        <v>1.2550297E-2</v>
      </c>
      <c r="H55" s="18">
        <f t="shared" si="0"/>
        <v>0.79022051770000001</v>
      </c>
      <c r="I55" s="18">
        <f t="shared" si="0"/>
        <v>0.90418992629999995</v>
      </c>
      <c r="J55" s="18">
        <f t="shared" si="0"/>
        <v>0.51830085319999997</v>
      </c>
      <c r="K55" s="18">
        <f t="shared" si="0"/>
        <v>0.328689707</v>
      </c>
      <c r="L55" s="18">
        <f t="shared" si="0"/>
        <v>0.63882297315000003</v>
      </c>
      <c r="M55" s="18">
        <f t="shared" si="0"/>
        <v>0.39507478221999998</v>
      </c>
      <c r="N55" s="19"/>
    </row>
    <row r="56" spans="1:14" s="21" customFormat="1" x14ac:dyDescent="0.2">
      <c r="A56" s="69" t="s">
        <v>61</v>
      </c>
      <c r="B56" s="69"/>
      <c r="C56" s="69"/>
      <c r="D56" s="69"/>
      <c r="E56" s="22"/>
      <c r="F56" s="23">
        <f t="shared" ref="F56:M56" si="1">AVERAGE(F2:F52)</f>
        <v>3.2159416908333328E-2</v>
      </c>
      <c r="G56" s="23">
        <f t="shared" si="1"/>
        <v>3.0273973416666666E-3</v>
      </c>
      <c r="H56" s="23">
        <f t="shared" si="1"/>
        <v>0.37973669030833329</v>
      </c>
      <c r="I56" s="23">
        <f t="shared" si="1"/>
        <v>0.61381284023055549</v>
      </c>
      <c r="J56" s="23">
        <f t="shared" si="1"/>
        <v>0.45620981558055551</v>
      </c>
      <c r="K56" s="23">
        <f t="shared" si="1"/>
        <v>0.21633321816018516</v>
      </c>
      <c r="L56" s="23">
        <f t="shared" si="1"/>
        <v>0.41797325294444426</v>
      </c>
      <c r="M56" s="23">
        <f t="shared" si="1"/>
        <v>0.296989232073889</v>
      </c>
      <c r="N56" s="24"/>
    </row>
    <row r="58" spans="1:14" s="25" customFormat="1" x14ac:dyDescent="0.2">
      <c r="A58" s="64" t="s">
        <v>68</v>
      </c>
      <c r="B58" s="64"/>
      <c r="C58" s="64"/>
      <c r="D58" s="64"/>
      <c r="E58" s="64"/>
      <c r="F58" s="32">
        <f>SUM(F55*(1/3),  G55*(1/3), I55*(1/3))</f>
        <v>0.33597317126666659</v>
      </c>
      <c r="G58" s="26"/>
      <c r="H58" s="26"/>
      <c r="I58" s="26"/>
      <c r="J58" s="26"/>
      <c r="K58" s="26"/>
      <c r="L58" s="26"/>
      <c r="M58" s="26"/>
      <c r="N58" s="27"/>
    </row>
    <row r="59" spans="1:14" s="30" customFormat="1" x14ac:dyDescent="0.2">
      <c r="A59" s="65" t="s">
        <v>69</v>
      </c>
      <c r="B59" s="65"/>
      <c r="C59" s="65"/>
      <c r="D59" s="65"/>
      <c r="E59" s="65"/>
      <c r="F59" s="31">
        <f>SUM(H55*(1/2),  J55*(1/2))</f>
        <v>0.65426068544999993</v>
      </c>
      <c r="G59" s="28"/>
      <c r="H59" s="28"/>
      <c r="I59" s="28"/>
      <c r="J59" s="28"/>
      <c r="K59" s="28"/>
      <c r="L59" s="28"/>
      <c r="M59" s="28"/>
      <c r="N59" s="29"/>
    </row>
    <row r="60" spans="1:14" s="36" customFormat="1" x14ac:dyDescent="0.2">
      <c r="A60" s="66" t="s">
        <v>70</v>
      </c>
      <c r="B60" s="66"/>
      <c r="C60" s="66"/>
      <c r="D60" s="66"/>
      <c r="E60" s="66"/>
      <c r="F60" s="33">
        <f>SUM(F55*1/5, G55*1/5, H55*1/5, I55*1/5,J55*1/5)</f>
        <v>0.46328817694000002</v>
      </c>
      <c r="G60" s="34"/>
      <c r="H60" s="34"/>
      <c r="I60" s="34"/>
      <c r="J60" s="34"/>
      <c r="K60" s="34"/>
      <c r="L60" s="34"/>
      <c r="M60" s="34"/>
      <c r="N60" s="35"/>
    </row>
    <row r="62" spans="1:14" s="40" customFormat="1" x14ac:dyDescent="0.2">
      <c r="A62" s="67" t="s">
        <v>65</v>
      </c>
      <c r="B62" s="67"/>
      <c r="C62" s="67"/>
      <c r="D62" s="67"/>
      <c r="E62" s="37"/>
      <c r="F62" s="38"/>
      <c r="G62" s="38"/>
      <c r="H62" s="38"/>
      <c r="I62" s="38"/>
      <c r="J62" s="38"/>
      <c r="K62" s="38"/>
      <c r="L62" s="38"/>
      <c r="M62" s="38"/>
      <c r="N62" s="39"/>
    </row>
    <row r="63" spans="1:14" s="40" customFormat="1" x14ac:dyDescent="0.2">
      <c r="A63" s="67" t="s">
        <v>66</v>
      </c>
      <c r="B63" s="68"/>
      <c r="C63" s="68"/>
      <c r="D63" s="68"/>
      <c r="E63" s="41"/>
      <c r="F63" s="38"/>
      <c r="G63" s="38"/>
      <c r="H63" s="38"/>
      <c r="I63" s="38"/>
      <c r="J63" s="38"/>
      <c r="K63" s="38"/>
      <c r="L63" s="38"/>
      <c r="M63" s="38"/>
      <c r="N63" s="39"/>
    </row>
    <row r="64" spans="1:14" s="40" customFormat="1" x14ac:dyDescent="0.2">
      <c r="A64" s="67" t="s">
        <v>67</v>
      </c>
      <c r="B64" s="68"/>
      <c r="C64" s="68"/>
      <c r="D64" s="68"/>
      <c r="E64" s="41"/>
      <c r="F64" s="38"/>
      <c r="G64" s="38"/>
      <c r="H64" s="38"/>
      <c r="I64" s="38"/>
      <c r="J64" s="38"/>
      <c r="K64" s="38"/>
      <c r="L64" s="38"/>
      <c r="M64" s="38"/>
      <c r="N64" s="39"/>
    </row>
  </sheetData>
  <mergeCells count="53">
    <mergeCell ref="A55:D55"/>
    <mergeCell ref="N42:N44"/>
    <mergeCell ref="C46:C48"/>
    <mergeCell ref="D46:D48"/>
    <mergeCell ref="E46:E48"/>
    <mergeCell ref="N46:N48"/>
    <mergeCell ref="E50:E52"/>
    <mergeCell ref="C36:C38"/>
    <mergeCell ref="D36:D38"/>
    <mergeCell ref="E36:E38"/>
    <mergeCell ref="A40:D40"/>
    <mergeCell ref="C42:C44"/>
    <mergeCell ref="D42:D44"/>
    <mergeCell ref="E42:E44"/>
    <mergeCell ref="N12:N14"/>
    <mergeCell ref="C20:C22"/>
    <mergeCell ref="D20:D22"/>
    <mergeCell ref="E20:E22"/>
    <mergeCell ref="N20:N22"/>
    <mergeCell ref="C16:C18"/>
    <mergeCell ref="D16:D18"/>
    <mergeCell ref="E16:E18"/>
    <mergeCell ref="N16:N18"/>
    <mergeCell ref="C2:C4"/>
    <mergeCell ref="D2:D4"/>
    <mergeCell ref="E2:E4"/>
    <mergeCell ref="N2:N4"/>
    <mergeCell ref="C6:C8"/>
    <mergeCell ref="D6:D8"/>
    <mergeCell ref="E6:E8"/>
    <mergeCell ref="N6:N8"/>
    <mergeCell ref="A56:D56"/>
    <mergeCell ref="A10:D10"/>
    <mergeCell ref="C12:C14"/>
    <mergeCell ref="D12:D14"/>
    <mergeCell ref="E12:E14"/>
    <mergeCell ref="C24:C26"/>
    <mergeCell ref="D24:D26"/>
    <mergeCell ref="E24:E26"/>
    <mergeCell ref="C28:C30"/>
    <mergeCell ref="D28:D30"/>
    <mergeCell ref="E28:E30"/>
    <mergeCell ref="C32:C34"/>
    <mergeCell ref="D32:D34"/>
    <mergeCell ref="E32:E34"/>
    <mergeCell ref="C50:C52"/>
    <mergeCell ref="D50:D52"/>
    <mergeCell ref="A63:D63"/>
    <mergeCell ref="A64:D64"/>
    <mergeCell ref="A58:E58"/>
    <mergeCell ref="A59:E59"/>
    <mergeCell ref="A60:E60"/>
    <mergeCell ref="A62:D6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CDC51E-177F-BF40-BC8B-54510E0AFA97}">
  <dimension ref="A1:N54"/>
  <sheetViews>
    <sheetView tabSelected="1" zoomScaleNormal="100" workbookViewId="0">
      <pane ySplit="1" topLeftCell="A2" activePane="bottomLeft" state="frozen"/>
      <selection pane="bottomLeft" activeCell="F28" sqref="F28"/>
    </sheetView>
  </sheetViews>
  <sheetFormatPr baseColWidth="10" defaultColWidth="51.33203125" defaultRowHeight="21" x14ac:dyDescent="0.2"/>
  <cols>
    <col min="1" max="1" width="28.1640625" style="1" customWidth="1"/>
    <col min="2" max="2" width="15.33203125" style="1" customWidth="1"/>
    <col min="3" max="3" width="36.1640625" style="3" customWidth="1"/>
    <col min="4" max="4" width="39.6640625" style="3" bestFit="1" customWidth="1"/>
    <col min="5" max="5" width="27.83203125" style="1" customWidth="1"/>
    <col min="6" max="6" width="28.1640625" style="1" customWidth="1"/>
    <col min="7" max="7" width="30.83203125" style="1" customWidth="1"/>
    <col min="8" max="8" width="27.83203125" style="1" bestFit="1" customWidth="1"/>
    <col min="9" max="9" width="28.6640625" style="1" customWidth="1"/>
    <col min="10" max="10" width="27.1640625" style="1" customWidth="1"/>
    <col min="11" max="11" width="24.83203125" style="1" customWidth="1"/>
    <col min="12" max="12" width="25.5" style="1" customWidth="1"/>
    <col min="13" max="16384" width="51.33203125" style="1"/>
  </cols>
  <sheetData>
    <row r="1" spans="1:14" s="6" customFormat="1" ht="66" x14ac:dyDescent="0.2">
      <c r="A1" s="6" t="s">
        <v>0</v>
      </c>
      <c r="B1" s="6" t="s">
        <v>1</v>
      </c>
      <c r="C1" s="7" t="s">
        <v>40</v>
      </c>
      <c r="D1" s="7" t="s">
        <v>59</v>
      </c>
      <c r="E1" s="7" t="s">
        <v>53</v>
      </c>
      <c r="F1" s="7" t="s">
        <v>54</v>
      </c>
      <c r="G1" s="7" t="s">
        <v>55</v>
      </c>
      <c r="H1" s="7" t="s">
        <v>56</v>
      </c>
      <c r="I1" s="7" t="s">
        <v>57</v>
      </c>
      <c r="J1" s="13" t="s">
        <v>62</v>
      </c>
      <c r="K1" s="13" t="s">
        <v>63</v>
      </c>
      <c r="L1" s="13" t="s">
        <v>64</v>
      </c>
    </row>
    <row r="2" spans="1:14" s="8" customFormat="1" x14ac:dyDescent="0.2">
      <c r="A2" s="10"/>
      <c r="B2" s="10"/>
      <c r="C2" s="11"/>
      <c r="D2" s="11"/>
      <c r="E2" s="11"/>
      <c r="F2" s="11"/>
      <c r="G2" s="11"/>
      <c r="H2" s="11"/>
      <c r="I2" s="11"/>
      <c r="J2" s="11"/>
      <c r="K2" s="10"/>
      <c r="L2" s="10"/>
      <c r="M2" s="10"/>
      <c r="N2" s="10"/>
    </row>
    <row r="3" spans="1:14" s="50" customFormat="1" x14ac:dyDescent="0.2">
      <c r="A3" s="69" t="s">
        <v>75</v>
      </c>
      <c r="B3" s="69"/>
      <c r="C3" s="69"/>
      <c r="D3" s="69"/>
      <c r="E3" s="69"/>
      <c r="F3" s="69"/>
      <c r="G3" s="69"/>
      <c r="H3" s="69"/>
      <c r="I3" s="69"/>
      <c r="J3" s="52"/>
    </row>
    <row r="4" spans="1:14" s="51" customFormat="1" x14ac:dyDescent="0.2">
      <c r="A4" s="8"/>
      <c r="B4" s="8"/>
      <c r="C4" s="8"/>
      <c r="D4" s="54"/>
      <c r="E4" s="8"/>
      <c r="F4" s="8"/>
      <c r="G4" s="8"/>
      <c r="H4" s="8"/>
      <c r="I4" s="8"/>
    </row>
    <row r="5" spans="1:14" x14ac:dyDescent="0.2">
      <c r="A5" s="1" t="s">
        <v>2</v>
      </c>
      <c r="B5" s="1" t="s">
        <v>5</v>
      </c>
      <c r="C5" s="58" t="s">
        <v>71</v>
      </c>
      <c r="D5" s="58" t="s">
        <v>72</v>
      </c>
      <c r="E5" s="12">
        <v>2.6558005799999999E-2</v>
      </c>
      <c r="F5" s="12">
        <v>7.9290508100000004E-2</v>
      </c>
      <c r="G5" s="12">
        <v>0.42742090119999998</v>
      </c>
      <c r="H5" s="12">
        <v>0.89827844270000001</v>
      </c>
      <c r="I5" s="12">
        <v>0.34608643859999999</v>
      </c>
      <c r="J5" s="12">
        <f>SUM(E5*1/3,F5*1/3,H5*1/3)</f>
        <v>0.33470898553333334</v>
      </c>
      <c r="K5" s="12">
        <f>SUM(G5*1/2,I5*1/2)</f>
        <v>0.38675366989999999</v>
      </c>
      <c r="L5" s="12">
        <f>SUM(E5*1/5,F5*1/5,G5*1/5,H5*1/5,I5*1/5)</f>
        <v>0.35552685928000005</v>
      </c>
    </row>
    <row r="6" spans="1:14" x14ac:dyDescent="0.2">
      <c r="A6" s="1" t="s">
        <v>3</v>
      </c>
      <c r="B6" s="1" t="s">
        <v>6</v>
      </c>
      <c r="C6" s="58"/>
      <c r="D6" s="58"/>
      <c r="E6" s="12">
        <v>6.2032598299999998E-2</v>
      </c>
      <c r="F6" s="12">
        <v>9.9712367999999999E-3</v>
      </c>
      <c r="G6" s="12">
        <v>0.22109300100000001</v>
      </c>
      <c r="H6" s="12">
        <v>0.83613638540000002</v>
      </c>
      <c r="I6" s="12">
        <v>0.38036204509999999</v>
      </c>
      <c r="J6" s="12">
        <f>SUM(E6*1/3,F6*1/3,H6*1/3)</f>
        <v>0.30271340683333331</v>
      </c>
      <c r="K6" s="12">
        <f>SUM(G6*1/2,I6*1/2)</f>
        <v>0.30072752305</v>
      </c>
      <c r="L6" s="12">
        <f>SUM(E6*1/5,F6*1/5,G6*1/5,H6*1/5,I6*1/5)</f>
        <v>0.30191905332000002</v>
      </c>
    </row>
    <row r="7" spans="1:14" x14ac:dyDescent="0.2">
      <c r="A7" s="1" t="s">
        <v>4</v>
      </c>
      <c r="B7" s="1" t="s">
        <v>7</v>
      </c>
      <c r="C7" s="58"/>
      <c r="D7" s="58"/>
      <c r="E7" s="12">
        <v>5.7526370000000003E-4</v>
      </c>
      <c r="F7" s="12">
        <v>1.1505273E-3</v>
      </c>
      <c r="G7" s="12">
        <v>0.6839884947</v>
      </c>
      <c r="H7" s="12">
        <v>0.50245971249999999</v>
      </c>
      <c r="I7" s="12">
        <v>0.48181687890000002</v>
      </c>
      <c r="J7" s="12">
        <f>SUM(E7*1/3,F7*1/3,H7*1/3)</f>
        <v>0.16806183449999998</v>
      </c>
      <c r="K7" s="12">
        <f>SUM(G7*1/2,I7*1/2)</f>
        <v>0.58290268680000001</v>
      </c>
      <c r="L7" s="12">
        <f>SUM(E7*1/5,F7*1/5,G7*1/5,H7*1/5,I7*1/5)</f>
        <v>0.33399817541999999</v>
      </c>
    </row>
    <row r="9" spans="1:14" x14ac:dyDescent="0.2">
      <c r="A9" s="1" t="s">
        <v>2</v>
      </c>
      <c r="B9" s="1" t="s">
        <v>5</v>
      </c>
      <c r="C9" s="58" t="s">
        <v>73</v>
      </c>
      <c r="D9" s="58" t="s">
        <v>74</v>
      </c>
      <c r="E9" s="12">
        <v>6.1553211900000002E-2</v>
      </c>
      <c r="F9" s="12">
        <v>4.6979865999999997E-3</v>
      </c>
      <c r="G9" s="12">
        <v>0.47286673060000001</v>
      </c>
      <c r="H9" s="12">
        <v>0.83432698849999998</v>
      </c>
      <c r="I9" s="12">
        <v>0.44045914829999999</v>
      </c>
      <c r="J9" s="12">
        <f>SUM(E9*1/3,F9*1/3,H9*1/3)</f>
        <v>0.30019272899999999</v>
      </c>
      <c r="K9" s="12">
        <f>SUM(G9*1/2,I9*1/2)</f>
        <v>0.45666293945000003</v>
      </c>
      <c r="L9" s="12">
        <f>SUM(E9*1/5,F9*1/5,G9*1/5,H9*1/5,I9*1/5)</f>
        <v>0.36278081317999999</v>
      </c>
    </row>
    <row r="10" spans="1:14" x14ac:dyDescent="0.2">
      <c r="A10" s="1" t="s">
        <v>3</v>
      </c>
      <c r="B10" s="1" t="s">
        <v>6</v>
      </c>
      <c r="C10" s="58"/>
      <c r="D10" s="58"/>
      <c r="E10" s="12">
        <v>7.6701821700000006E-2</v>
      </c>
      <c r="F10" s="12">
        <v>5.1773729999999999E-3</v>
      </c>
      <c r="G10" s="12">
        <v>0.4302972196</v>
      </c>
      <c r="H10" s="12">
        <v>0.90418992629999995</v>
      </c>
      <c r="I10" s="12">
        <v>0.3758758888</v>
      </c>
      <c r="J10" s="12">
        <f>SUM(E10*1/3,F10*1/3,H10*1/3)</f>
        <v>0.328689707</v>
      </c>
      <c r="K10" s="12">
        <f>SUM(G10*1/2,I10*1/2)</f>
        <v>0.4030865542</v>
      </c>
      <c r="L10" s="12">
        <f>SUM(E10*1/5,F10*1/5,G10*1/5,H10*1/5,I10*1/5)</f>
        <v>0.35844844587999997</v>
      </c>
    </row>
    <row r="11" spans="1:14" x14ac:dyDescent="0.2">
      <c r="A11" s="1" t="s">
        <v>4</v>
      </c>
      <c r="B11" s="1" t="s">
        <v>7</v>
      </c>
      <c r="C11" s="58"/>
      <c r="D11" s="58"/>
      <c r="E11" s="12">
        <v>1.917546E-4</v>
      </c>
      <c r="F11" s="12">
        <v>1.5340364E-3</v>
      </c>
      <c r="G11" s="12">
        <v>0.32617449659999997</v>
      </c>
      <c r="H11" s="12">
        <v>0.49067845249999997</v>
      </c>
      <c r="I11" s="12">
        <v>0.48153125829999999</v>
      </c>
      <c r="J11" s="12">
        <f>SUM(E11*1/3,F11*1/3,H11*1/3)</f>
        <v>0.16413474783333332</v>
      </c>
      <c r="K11" s="12">
        <f>SUM(G11*1/2,I11*1/2)</f>
        <v>0.40385287744999998</v>
      </c>
      <c r="L11" s="12">
        <f>SUM(E11*1/5,F11*1/5,G11*1/5,H11*1/5,I11*1/5)</f>
        <v>0.26002199968</v>
      </c>
    </row>
    <row r="13" spans="1:14" x14ac:dyDescent="0.2">
      <c r="A13" s="1" t="s">
        <v>2</v>
      </c>
      <c r="B13" s="1" t="s">
        <v>5</v>
      </c>
      <c r="C13" s="58" t="s">
        <v>78</v>
      </c>
      <c r="D13" s="58" t="s">
        <v>91</v>
      </c>
      <c r="J13" s="12">
        <f>SUM(E13*1/3,F13*1/3,H13*1/3)</f>
        <v>0</v>
      </c>
      <c r="K13" s="12">
        <f>SUM(G13*1/2,I13*1/2)</f>
        <v>0</v>
      </c>
      <c r="L13" s="12">
        <f>SUM(E13*1/5,F13*1/5,G13*1/5,H13*1/5,I13*1/5)</f>
        <v>0</v>
      </c>
    </row>
    <row r="14" spans="1:14" x14ac:dyDescent="0.2">
      <c r="A14" s="1" t="s">
        <v>3</v>
      </c>
      <c r="B14" s="1" t="s">
        <v>6</v>
      </c>
      <c r="C14" s="58"/>
      <c r="D14" s="58"/>
      <c r="J14" s="12">
        <f>SUM(E14*1/3,F14*1/3,H14*1/3)</f>
        <v>0</v>
      </c>
      <c r="K14" s="12">
        <f>SUM(G14*1/2,I14*1/2)</f>
        <v>0</v>
      </c>
      <c r="L14" s="12">
        <f>SUM(E14*1/5,F14*1/5,G14*1/5,H14*1/5,I14*1/5)</f>
        <v>0</v>
      </c>
    </row>
    <row r="15" spans="1:14" x14ac:dyDescent="0.2">
      <c r="A15" s="1" t="s">
        <v>4</v>
      </c>
      <c r="B15" s="1" t="s">
        <v>7</v>
      </c>
      <c r="C15" s="58"/>
      <c r="D15" s="58"/>
      <c r="F15" s="9"/>
      <c r="J15" s="12">
        <f>SUM(E15*1/3,F15*1/3,H15*1/3)</f>
        <v>0</v>
      </c>
      <c r="K15" s="12">
        <f>SUM(G15*1/2,I15*1/2)</f>
        <v>0</v>
      </c>
      <c r="L15" s="12">
        <f>SUM(E15*1/5,F15*1/5,G15*1/5,H15*1/5,I15*1/5)</f>
        <v>0</v>
      </c>
    </row>
    <row r="16" spans="1:14" x14ac:dyDescent="0.2">
      <c r="E16" s="12"/>
      <c r="F16" s="12"/>
      <c r="G16" s="12"/>
      <c r="H16" s="12"/>
      <c r="I16" s="12"/>
      <c r="J16" s="12"/>
      <c r="K16" s="12"/>
      <c r="L16" s="12"/>
    </row>
    <row r="17" spans="1:12" x14ac:dyDescent="0.2">
      <c r="A17" s="1" t="s">
        <v>2</v>
      </c>
      <c r="B17" s="1" t="s">
        <v>5</v>
      </c>
      <c r="C17" s="58" t="s">
        <v>85</v>
      </c>
      <c r="D17" s="58" t="s">
        <v>86</v>
      </c>
      <c r="E17" s="12"/>
      <c r="F17" s="12"/>
      <c r="G17" s="12"/>
      <c r="H17" s="12"/>
      <c r="I17" s="12"/>
      <c r="J17" s="12">
        <f>SUM(E17*1/3,F17*1/3,H17*1/3)</f>
        <v>0</v>
      </c>
      <c r="K17" s="12">
        <f>SUM(G17*1/2,I17*1/2)</f>
        <v>0</v>
      </c>
      <c r="L17" s="12">
        <f>SUM(E17*1/5,F17*1/5,G17*1/5,H17*1/5,I17*1/5)</f>
        <v>0</v>
      </c>
    </row>
    <row r="18" spans="1:12" x14ac:dyDescent="0.2">
      <c r="A18" s="1" t="s">
        <v>3</v>
      </c>
      <c r="B18" s="1" t="s">
        <v>6</v>
      </c>
      <c r="C18" s="58"/>
      <c r="D18" s="58"/>
      <c r="E18" s="12"/>
      <c r="F18" s="12"/>
      <c r="G18" s="12"/>
      <c r="H18" s="12"/>
      <c r="I18" s="12"/>
      <c r="J18" s="12">
        <f>SUM(E18*1/3,F18*1/3,H18*1/3)</f>
        <v>0</v>
      </c>
      <c r="K18" s="12">
        <f>SUM(G18*1/2,I18*1/2)</f>
        <v>0</v>
      </c>
      <c r="L18" s="12">
        <f>SUM(E18*1/5,F18*1/5,G18*1/5,H18*1/5,I18*1/5)</f>
        <v>0</v>
      </c>
    </row>
    <row r="19" spans="1:12" x14ac:dyDescent="0.2">
      <c r="A19" s="1" t="s">
        <v>4</v>
      </c>
      <c r="B19" s="1" t="s">
        <v>7</v>
      </c>
      <c r="C19" s="58"/>
      <c r="D19" s="58"/>
      <c r="E19" s="12"/>
      <c r="F19" s="12"/>
      <c r="G19" s="12"/>
      <c r="H19" s="12"/>
      <c r="I19" s="12"/>
      <c r="J19" s="12">
        <f>SUM(E19*1/3,F19*1/3,H19*1/3)</f>
        <v>0</v>
      </c>
      <c r="K19" s="12">
        <f>SUM(G19*1/2,I19*1/2)</f>
        <v>0</v>
      </c>
      <c r="L19" s="12">
        <f>SUM(E19*1/5,F19*1/5,G19*1/5,H19*1/5,I19*1/5)</f>
        <v>0</v>
      </c>
    </row>
    <row r="20" spans="1:12" x14ac:dyDescent="0.2">
      <c r="C20" s="53"/>
    </row>
    <row r="21" spans="1:12" x14ac:dyDescent="0.2">
      <c r="A21" s="1" t="s">
        <v>2</v>
      </c>
      <c r="B21" s="1" t="s">
        <v>5</v>
      </c>
      <c r="C21" s="58" t="s">
        <v>76</v>
      </c>
      <c r="D21" s="58" t="s">
        <v>77</v>
      </c>
      <c r="J21" s="12">
        <f>SUM(E21*1/3,F21*1/3,H21*1/3)</f>
        <v>0</v>
      </c>
      <c r="K21" s="12">
        <f>SUM(G21*1/2,I21*1/2)</f>
        <v>0</v>
      </c>
      <c r="L21" s="12">
        <f>SUM(E21*1/5,F21*1/5,G21*1/5,H21*1/5,I21*1/5)</f>
        <v>0</v>
      </c>
    </row>
    <row r="22" spans="1:12" x14ac:dyDescent="0.2">
      <c r="A22" s="1" t="s">
        <v>3</v>
      </c>
      <c r="B22" s="1" t="s">
        <v>6</v>
      </c>
      <c r="C22" s="58"/>
      <c r="D22" s="58"/>
      <c r="J22" s="12">
        <f>SUM(E22*1/3,F22*1/3,H22*1/3)</f>
        <v>0</v>
      </c>
      <c r="K22" s="12">
        <f>SUM(G22*1/2,I22*1/2)</f>
        <v>0</v>
      </c>
      <c r="L22" s="12">
        <f>SUM(E22*1/5,F22*1/5,G22*1/5,H22*1/5,I22*1/5)</f>
        <v>0</v>
      </c>
    </row>
    <row r="23" spans="1:12" x14ac:dyDescent="0.2">
      <c r="A23" s="1" t="s">
        <v>4</v>
      </c>
      <c r="B23" s="1" t="s">
        <v>7</v>
      </c>
      <c r="C23" s="58"/>
      <c r="D23" s="58"/>
      <c r="J23" s="12">
        <f>SUM(E23*1/3,F23*1/3,H23*1/3)</f>
        <v>0</v>
      </c>
      <c r="K23" s="12">
        <f>SUM(G23*1/2,I23*1/2)</f>
        <v>0</v>
      </c>
      <c r="L23" s="12">
        <f>SUM(E23*1/5,F23*1/5,G23*1/5,H23*1/5,I23*1/5)</f>
        <v>0</v>
      </c>
    </row>
    <row r="25" spans="1:12" x14ac:dyDescent="0.2">
      <c r="A25" s="1" t="s">
        <v>2</v>
      </c>
      <c r="B25" s="1" t="s">
        <v>5</v>
      </c>
      <c r="C25" s="58" t="s">
        <v>89</v>
      </c>
      <c r="D25" s="58" t="s">
        <v>87</v>
      </c>
      <c r="J25" s="12">
        <f>SUM(E25*1/3,F25*1/3,H25*1/3)</f>
        <v>0</v>
      </c>
      <c r="K25" s="12">
        <f>SUM(G25*1/2,I25*1/2)</f>
        <v>0</v>
      </c>
      <c r="L25" s="12">
        <f>SUM(E25*1/5,F25*1/5,G25*1/5,H25*1/5,I25*1/5)</f>
        <v>0</v>
      </c>
    </row>
    <row r="26" spans="1:12" x14ac:dyDescent="0.2">
      <c r="A26" s="1" t="s">
        <v>3</v>
      </c>
      <c r="B26" s="1" t="s">
        <v>6</v>
      </c>
      <c r="C26" s="58"/>
      <c r="D26" s="58"/>
      <c r="J26" s="12">
        <f>SUM(E26*1/3,F26*1/3,H26*1/3)</f>
        <v>0</v>
      </c>
      <c r="K26" s="12">
        <f>SUM(G26*1/2,I26*1/2)</f>
        <v>0</v>
      </c>
      <c r="L26" s="12">
        <f>SUM(E26*1/5,F26*1/5,G26*1/5,H26*1/5,I26*1/5)</f>
        <v>0</v>
      </c>
    </row>
    <row r="27" spans="1:12" x14ac:dyDescent="0.2">
      <c r="A27" s="1" t="s">
        <v>4</v>
      </c>
      <c r="B27" s="1" t="s">
        <v>7</v>
      </c>
      <c r="C27" s="58"/>
      <c r="D27" s="58"/>
      <c r="F27" s="9"/>
      <c r="J27" s="12">
        <f>SUM(E27*1/3,F27*1/3,H27*1/3)</f>
        <v>0</v>
      </c>
      <c r="K27" s="12">
        <f>SUM(G27*1/2,I27*1/2)</f>
        <v>0</v>
      </c>
      <c r="L27" s="12">
        <f>SUM(E27*1/5,F27*1/5,G27*1/5,H27*1/5,I27*1/5)</f>
        <v>0</v>
      </c>
    </row>
    <row r="29" spans="1:12" x14ac:dyDescent="0.2">
      <c r="A29" s="1" t="s">
        <v>2</v>
      </c>
      <c r="B29" s="1" t="s">
        <v>5</v>
      </c>
      <c r="C29" s="58" t="s">
        <v>90</v>
      </c>
      <c r="D29" s="58" t="s">
        <v>88</v>
      </c>
      <c r="J29" s="12">
        <f>SUM(E29*1/3,F29*1/3,H29*1/3)</f>
        <v>0</v>
      </c>
      <c r="K29" s="12">
        <f>SUM(G29*1/2,I29*1/2)</f>
        <v>0</v>
      </c>
      <c r="L29" s="12">
        <f>SUM(E29*1/5,F29*1/5,G29*1/5,H29*1/5,I29*1/5)</f>
        <v>0</v>
      </c>
    </row>
    <row r="30" spans="1:12" x14ac:dyDescent="0.2">
      <c r="A30" s="1" t="s">
        <v>3</v>
      </c>
      <c r="B30" s="1" t="s">
        <v>6</v>
      </c>
      <c r="C30" s="58"/>
      <c r="D30" s="58"/>
      <c r="J30" s="12">
        <f>SUM(E30*1/3,F30*1/3,H30*1/3)</f>
        <v>0</v>
      </c>
      <c r="K30" s="12">
        <f>SUM(G30*1/2,I30*1/2)</f>
        <v>0</v>
      </c>
      <c r="L30" s="12">
        <f>SUM(E30*1/5,F30*1/5,G30*1/5,H30*1/5,I30*1/5)</f>
        <v>0</v>
      </c>
    </row>
    <row r="31" spans="1:12" x14ac:dyDescent="0.2">
      <c r="A31" s="1" t="s">
        <v>4</v>
      </c>
      <c r="B31" s="1" t="s">
        <v>7</v>
      </c>
      <c r="C31" s="58"/>
      <c r="D31" s="58"/>
      <c r="F31" s="9"/>
      <c r="J31" s="12">
        <f>SUM(E31*1/3,F31*1/3,H31*1/3)</f>
        <v>0</v>
      </c>
      <c r="K31" s="12">
        <f>SUM(G31*1/2,I31*1/2)</f>
        <v>0</v>
      </c>
      <c r="L31" s="12">
        <f>SUM(E31*1/5,F31*1/5,G31*1/5,H31*1/5,I31*1/5)</f>
        <v>0</v>
      </c>
    </row>
    <row r="33" spans="1:12" x14ac:dyDescent="0.2">
      <c r="F33" s="8"/>
      <c r="H33" s="8"/>
    </row>
    <row r="34" spans="1:12" s="50" customFormat="1" x14ac:dyDescent="0.2">
      <c r="A34" s="69" t="s">
        <v>79</v>
      </c>
      <c r="B34" s="69"/>
      <c r="C34" s="69"/>
      <c r="D34" s="69"/>
      <c r="E34" s="69"/>
      <c r="F34" s="69"/>
      <c r="G34" s="69"/>
      <c r="H34" s="69"/>
      <c r="I34" s="69"/>
      <c r="J34" s="52"/>
    </row>
    <row r="35" spans="1:12" s="51" customFormat="1" x14ac:dyDescent="0.2">
      <c r="A35" s="8"/>
      <c r="B35" s="8"/>
      <c r="C35" s="8"/>
      <c r="D35" s="54"/>
      <c r="E35" s="8"/>
      <c r="F35" s="8"/>
      <c r="G35" s="8"/>
      <c r="H35" s="8"/>
      <c r="I35" s="8"/>
    </row>
    <row r="36" spans="1:12" x14ac:dyDescent="0.2">
      <c r="A36" s="1" t="s">
        <v>2</v>
      </c>
      <c r="B36" s="1" t="s">
        <v>5</v>
      </c>
      <c r="C36" s="58" t="s">
        <v>80</v>
      </c>
      <c r="D36" s="58" t="s">
        <v>72</v>
      </c>
      <c r="E36" s="12">
        <v>5.6663470799999997E-2</v>
      </c>
      <c r="F36" s="12">
        <v>9.2042185999999995E-3</v>
      </c>
      <c r="G36" s="12">
        <v>0.42109300100000002</v>
      </c>
      <c r="H36" s="12">
        <v>0.81920023559999999</v>
      </c>
      <c r="I36" s="12">
        <v>0.44493382850000002</v>
      </c>
      <c r="J36" s="12">
        <f>SUM(E36*1/3,F36*1/3,H36*1/3)</f>
        <v>0.2950226416666667</v>
      </c>
      <c r="K36" s="12">
        <f>SUM(G36*1/2,I36*1/2)</f>
        <v>0.43301341474999999</v>
      </c>
      <c r="L36" s="12">
        <f>SUM(E36*1/5,F36*1/5,G36*1/5,H36*1/5,I36*1/5)</f>
        <v>0.35021895089999999</v>
      </c>
    </row>
    <row r="37" spans="1:12" x14ac:dyDescent="0.2">
      <c r="A37" s="1" t="s">
        <v>3</v>
      </c>
      <c r="B37" s="1" t="s">
        <v>6</v>
      </c>
      <c r="C37" s="58"/>
      <c r="D37" s="58"/>
      <c r="E37" s="12">
        <v>8.2166826499999998E-2</v>
      </c>
      <c r="F37" s="12">
        <v>9.5877299999999998E-5</v>
      </c>
      <c r="G37" s="12">
        <v>0.42070949190000001</v>
      </c>
      <c r="H37" s="12">
        <v>0.81290296760000003</v>
      </c>
      <c r="I37" s="12">
        <v>0.4417925586</v>
      </c>
      <c r="J37" s="12">
        <f>SUM(E37*1/3,F37*1/3,H37*1/3)</f>
        <v>0.29838855713333334</v>
      </c>
      <c r="K37" s="12">
        <f>SUM(G37*1/2,I37*1/2)</f>
        <v>0.43125102525000003</v>
      </c>
      <c r="L37" s="12">
        <f>SUM(E37*1/5,F37*1/5,G37*1/5,H37*1/5,I37*1/5)</f>
        <v>0.35153354437999995</v>
      </c>
    </row>
    <row r="38" spans="1:12" x14ac:dyDescent="0.2">
      <c r="A38" s="1" t="s">
        <v>4</v>
      </c>
      <c r="B38" s="1" t="s">
        <v>7</v>
      </c>
      <c r="C38" s="58"/>
      <c r="D38" s="58"/>
      <c r="E38" s="12">
        <v>7.6701820000000002E-4</v>
      </c>
      <c r="F38" s="12">
        <v>2.0134227999999998E-3</v>
      </c>
      <c r="G38" s="12">
        <v>0.1702780441</v>
      </c>
      <c r="H38" s="12">
        <v>0.46493483429999999</v>
      </c>
      <c r="I38" s="12">
        <v>0.47127738250000001</v>
      </c>
      <c r="J38" s="12">
        <f>SUM(E38*1/3,F38*1/3,H38*1/3)</f>
        <v>0.15590509176666667</v>
      </c>
      <c r="K38" s="12">
        <f>SUM(G38*1/2,I38*1/2)</f>
        <v>0.32077771329999999</v>
      </c>
      <c r="L38" s="12">
        <f>SUM(E38*1/5,F38*1/5,G38*1/5,H38*1/5,I38*1/5)</f>
        <v>0.22185414038000001</v>
      </c>
    </row>
    <row r="40" spans="1:12" x14ac:dyDescent="0.2">
      <c r="A40" s="1" t="s">
        <v>2</v>
      </c>
      <c r="B40" s="1" t="s">
        <v>5</v>
      </c>
      <c r="C40" s="58" t="s">
        <v>81</v>
      </c>
      <c r="D40" s="58" t="s">
        <v>74</v>
      </c>
      <c r="E40" s="12">
        <v>4.5445829299999997E-2</v>
      </c>
      <c r="F40" s="12">
        <v>6.6155322000000004E-3</v>
      </c>
      <c r="G40" s="12">
        <v>0.45714285710000002</v>
      </c>
      <c r="H40" s="12">
        <v>0.70717096769999999</v>
      </c>
      <c r="I40" s="12">
        <v>0.50964245389999996</v>
      </c>
      <c r="J40" s="12">
        <f>SUM(E40*1/3,F40*1/3,H40*1/3)</f>
        <v>0.25307744306666669</v>
      </c>
      <c r="K40" s="12">
        <f>SUM(G40*1/2,I40*1/2)</f>
        <v>0.48339265549999999</v>
      </c>
      <c r="L40" s="12">
        <f>SUM(E40*1/5,F40*1/5,G40*1/5,H40*1/5,I40*1/5)</f>
        <v>0.34520352803999999</v>
      </c>
    </row>
    <row r="41" spans="1:12" x14ac:dyDescent="0.2">
      <c r="A41" s="1" t="s">
        <v>3</v>
      </c>
      <c r="B41" s="1" t="s">
        <v>6</v>
      </c>
      <c r="C41" s="58"/>
      <c r="D41" s="58"/>
      <c r="E41" s="12">
        <v>2.85714286E-2</v>
      </c>
      <c r="F41" s="12">
        <v>1.9175456000000001E-3</v>
      </c>
      <c r="G41" s="12">
        <v>0.45043144769999999</v>
      </c>
      <c r="H41" s="12">
        <v>0.74414334049999997</v>
      </c>
      <c r="I41" s="12">
        <v>0.46137624570000002</v>
      </c>
      <c r="J41" s="12">
        <f>SUM(E41*1/3,F41*1/3,H41*1/3)</f>
        <v>0.25821077156666666</v>
      </c>
      <c r="K41" s="12">
        <f>SUM(G41*1/2,I41*1/2)</f>
        <v>0.4559038467</v>
      </c>
      <c r="L41" s="12">
        <f>SUM(E41*1/5,F41*1/5,G41*1/5,H41*1/5,I41*1/5)</f>
        <v>0.33728800162</v>
      </c>
    </row>
    <row r="42" spans="1:12" x14ac:dyDescent="0.2">
      <c r="A42" s="1" t="s">
        <v>4</v>
      </c>
      <c r="B42" s="1" t="s">
        <v>7</v>
      </c>
      <c r="C42" s="58"/>
      <c r="D42" s="58"/>
      <c r="E42" s="12">
        <v>3.8350910000000001E-4</v>
      </c>
      <c r="F42" s="12">
        <v>1.3422817999999999E-3</v>
      </c>
      <c r="G42" s="12">
        <v>0.79022051770000001</v>
      </c>
      <c r="H42" s="12">
        <v>0.49764374880000001</v>
      </c>
      <c r="I42" s="12">
        <v>0.48742542859999999</v>
      </c>
      <c r="J42" s="12">
        <f>SUM(E42*1/3,F42*1/3,H42*1/3)</f>
        <v>0.16645651323333333</v>
      </c>
      <c r="K42" s="12">
        <f>SUM(G42*1/2,I42*1/2)</f>
        <v>0.63882297315000003</v>
      </c>
      <c r="L42" s="12">
        <f>SUM(E42*1/5,F42*1/5,G42*1/5,H42*1/5,I42*1/5)</f>
        <v>0.35540309720000007</v>
      </c>
    </row>
    <row r="43" spans="1:12" x14ac:dyDescent="0.2">
      <c r="E43" s="12"/>
      <c r="F43" s="12"/>
      <c r="G43" s="12"/>
      <c r="H43" s="12"/>
      <c r="I43" s="12"/>
      <c r="J43" s="12"/>
      <c r="K43" s="12"/>
      <c r="L43" s="12"/>
    </row>
    <row r="45" spans="1:12" s="50" customFormat="1" x14ac:dyDescent="0.2">
      <c r="A45" s="69" t="s">
        <v>82</v>
      </c>
      <c r="B45" s="69"/>
      <c r="C45" s="69"/>
      <c r="D45" s="69"/>
      <c r="E45" s="69"/>
      <c r="F45" s="69"/>
      <c r="G45" s="69"/>
      <c r="H45" s="69"/>
      <c r="I45" s="69"/>
      <c r="J45" s="52"/>
    </row>
    <row r="46" spans="1:12" s="51" customFormat="1" x14ac:dyDescent="0.2">
      <c r="A46" s="8"/>
      <c r="B46" s="8"/>
      <c r="C46" s="8"/>
      <c r="D46" s="54"/>
      <c r="E46" s="8"/>
      <c r="F46" s="8"/>
      <c r="G46" s="8"/>
      <c r="H46" s="8"/>
      <c r="I46" s="8"/>
    </row>
    <row r="47" spans="1:12" x14ac:dyDescent="0.2">
      <c r="A47" s="1" t="s">
        <v>2</v>
      </c>
      <c r="B47" s="1" t="s">
        <v>5</v>
      </c>
      <c r="C47" s="58" t="s">
        <v>83</v>
      </c>
      <c r="D47" s="58" t="s">
        <v>72</v>
      </c>
      <c r="E47" s="12">
        <v>2.0997123699999998E-2</v>
      </c>
      <c r="F47" s="12">
        <v>2.3010547000000001E-3</v>
      </c>
      <c r="G47" s="12">
        <v>0.3390220518</v>
      </c>
      <c r="H47" s="12">
        <v>0.80129368079999996</v>
      </c>
      <c r="I47" s="12">
        <v>0.42862661320000001</v>
      </c>
      <c r="J47" s="12">
        <f>SUM(E47*1/3,F47*1/3,H47*1/3)</f>
        <v>0.27486395306666661</v>
      </c>
      <c r="K47" s="12">
        <f>SUM(G47*1/2,I47*1/2)</f>
        <v>0.38382433250000003</v>
      </c>
      <c r="L47" s="12">
        <f>SUM(E47*1/5,F47*1/5,G47*1/5,H47*1/5,I47*1/5)</f>
        <v>0.31844810483999997</v>
      </c>
    </row>
    <row r="48" spans="1:12" x14ac:dyDescent="0.2">
      <c r="A48" s="1" t="s">
        <v>3</v>
      </c>
      <c r="B48" s="1" t="s">
        <v>6</v>
      </c>
      <c r="C48" s="58"/>
      <c r="D48" s="58"/>
      <c r="E48" s="12">
        <v>3.2598274E-3</v>
      </c>
      <c r="F48" s="12">
        <v>4.1227229000000004E-3</v>
      </c>
      <c r="G48" s="12">
        <v>0.25656759350000002</v>
      </c>
      <c r="H48" s="12">
        <v>0.5509203869</v>
      </c>
      <c r="I48" s="12">
        <v>0.4742471747</v>
      </c>
      <c r="J48" s="12">
        <f>SUM(E48*1/3,F48*1/3,H48*1/3)</f>
        <v>0.18610097906666667</v>
      </c>
      <c r="K48" s="12">
        <f>SUM(G48*1/2,I48*1/2)</f>
        <v>0.36540738410000001</v>
      </c>
      <c r="L48" s="12">
        <f>SUM(E48*1/5,F48*1/5,G48*1/5,H48*1/5,I48*1/5)</f>
        <v>0.25782354108</v>
      </c>
    </row>
    <row r="49" spans="1:12" x14ac:dyDescent="0.2">
      <c r="A49" s="1" t="s">
        <v>4</v>
      </c>
      <c r="B49" s="1" t="s">
        <v>7</v>
      </c>
      <c r="C49" s="58"/>
      <c r="D49" s="58"/>
      <c r="E49" s="12">
        <v>0</v>
      </c>
      <c r="F49" s="12">
        <v>9.5877280000000004E-4</v>
      </c>
      <c r="G49" s="12">
        <v>0.35321188879999998</v>
      </c>
      <c r="H49" s="12">
        <v>0.55203139629999998</v>
      </c>
      <c r="I49" s="12">
        <v>0.4477544779</v>
      </c>
      <c r="J49" s="12">
        <f>SUM(E49*1/3,F49*1/3,H49*1/3)</f>
        <v>0.18433005636666666</v>
      </c>
      <c r="K49" s="12">
        <f>SUM(G49*1/2,I49*1/2)</f>
        <v>0.40048318334999999</v>
      </c>
      <c r="L49" s="12">
        <f>SUM(E49*1/5,F49*1/5,G49*1/5,H49*1/5,I49*1/5)</f>
        <v>0.27079130715999999</v>
      </c>
    </row>
    <row r="51" spans="1:12" x14ac:dyDescent="0.2">
      <c r="A51" s="1" t="s">
        <v>2</v>
      </c>
      <c r="B51" s="1" t="s">
        <v>5</v>
      </c>
      <c r="C51" s="58" t="s">
        <v>84</v>
      </c>
      <c r="D51" s="58" t="s">
        <v>74</v>
      </c>
      <c r="E51" s="12">
        <v>7.2003835099999997E-2</v>
      </c>
      <c r="F51" s="12">
        <v>7.3825504E-3</v>
      </c>
      <c r="G51" s="12">
        <v>0.3771812081</v>
      </c>
      <c r="H51" s="12">
        <v>0.74268293880000003</v>
      </c>
      <c r="I51" s="12">
        <v>0.45190041990000002</v>
      </c>
      <c r="J51" s="12">
        <f>SUM(E51*1/3,F51*1/3,H51*1/3)</f>
        <v>0.27402310810000002</v>
      </c>
      <c r="K51" s="12">
        <f>SUM(G51*1/2,I51*1/2)</f>
        <v>0.41454081399999998</v>
      </c>
      <c r="L51" s="12">
        <f>SUM(E51*1/5,F51*1/5,G51*1/5,H51*1/5,I51*1/5)</f>
        <v>0.33023019046000002</v>
      </c>
    </row>
    <row r="52" spans="1:12" x14ac:dyDescent="0.2">
      <c r="A52" s="1" t="s">
        <v>3</v>
      </c>
      <c r="B52" s="1" t="s">
        <v>6</v>
      </c>
      <c r="C52" s="58"/>
      <c r="D52" s="58"/>
      <c r="E52" s="12">
        <v>8.59060403E-2</v>
      </c>
      <c r="F52" s="12">
        <v>5.7526370000000003E-4</v>
      </c>
      <c r="G52" s="12">
        <v>0.59731543620000005</v>
      </c>
      <c r="H52" s="12">
        <v>0.8594864566</v>
      </c>
      <c r="I52" s="12">
        <v>0.43209071430000001</v>
      </c>
      <c r="J52" s="12">
        <f>SUM(E52*1/3,F52*1/3,H52*1/3)</f>
        <v>0.31532258686666664</v>
      </c>
      <c r="K52" s="12">
        <f>SUM(G52*1/2,I52*1/2)</f>
        <v>0.51470307525000003</v>
      </c>
      <c r="L52" s="12">
        <f>SUM(E52*1/5,F52*1/5,G52*1/5,H52*1/5,I52*1/5)</f>
        <v>0.39507478221999998</v>
      </c>
    </row>
    <row r="53" spans="1:12" x14ac:dyDescent="0.2">
      <c r="A53" s="1" t="s">
        <v>4</v>
      </c>
      <c r="B53" s="1" t="s">
        <v>7</v>
      </c>
      <c r="C53" s="58"/>
      <c r="D53" s="58"/>
      <c r="E53" s="12">
        <v>3.8350910000000001E-4</v>
      </c>
      <c r="F53" s="12">
        <v>1.1505274000000001E-3</v>
      </c>
      <c r="G53" s="12">
        <v>0.4678811122</v>
      </c>
      <c r="H53" s="12">
        <v>0.50554854299999996</v>
      </c>
      <c r="I53" s="12">
        <v>0.48466990739999999</v>
      </c>
      <c r="J53" s="12">
        <f>SUM(E53*1/3,F53*1/3,H53*1/3)</f>
        <v>0.1690275265</v>
      </c>
      <c r="K53" s="12">
        <f>SUM(G53*1/2,I53*1/2)</f>
        <v>0.4762755098</v>
      </c>
      <c r="L53" s="12">
        <f>SUM(E53*1/5,F53*1/5,G53*1/5,H53*1/5,I53*1/5)</f>
        <v>0.29192671981999996</v>
      </c>
    </row>
    <row r="54" spans="1:12" x14ac:dyDescent="0.2">
      <c r="E54" s="12"/>
      <c r="F54" s="12"/>
      <c r="G54" s="12"/>
      <c r="H54" s="12"/>
      <c r="I54" s="12"/>
      <c r="J54" s="12"/>
      <c r="K54" s="12"/>
      <c r="L54" s="12"/>
    </row>
  </sheetData>
  <mergeCells count="25">
    <mergeCell ref="C13:C15"/>
    <mergeCell ref="D13:D15"/>
    <mergeCell ref="C29:C31"/>
    <mergeCell ref="D29:D31"/>
    <mergeCell ref="A3:I3"/>
    <mergeCell ref="C21:C23"/>
    <mergeCell ref="D21:D23"/>
    <mergeCell ref="C25:C27"/>
    <mergeCell ref="D25:D27"/>
    <mergeCell ref="D5:D7"/>
    <mergeCell ref="D9:D11"/>
    <mergeCell ref="C5:C7"/>
    <mergeCell ref="C9:C11"/>
    <mergeCell ref="D17:D19"/>
    <mergeCell ref="C17:C19"/>
    <mergeCell ref="A34:I34"/>
    <mergeCell ref="C36:C38"/>
    <mergeCell ref="D36:D38"/>
    <mergeCell ref="C40:C42"/>
    <mergeCell ref="D40:D42"/>
    <mergeCell ref="A45:I45"/>
    <mergeCell ref="C47:C49"/>
    <mergeCell ref="D47:D49"/>
    <mergeCell ref="C51:C53"/>
    <mergeCell ref="D51:D5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Fogli di lavoro</vt:lpstr>
      </vt:variant>
      <vt:variant>
        <vt:i4>4</vt:i4>
      </vt:variant>
    </vt:vector>
  </HeadingPairs>
  <TitlesOfParts>
    <vt:vector size="4" baseType="lpstr">
      <vt:lpstr>Results BASIC</vt:lpstr>
      <vt:lpstr>Results SPECIAL</vt:lpstr>
      <vt:lpstr>Results PRETRAINED</vt:lpstr>
      <vt:lpstr>Trials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Deborah Dore</dc:creator>
  <cp:lastModifiedBy>Deborah Dore</cp:lastModifiedBy>
  <dcterms:created xsi:type="dcterms:W3CDTF">2023-11-28T10:53:59Z</dcterms:created>
  <dcterms:modified xsi:type="dcterms:W3CDTF">2023-12-18T16:39:32Z</dcterms:modified>
</cp:coreProperties>
</file>