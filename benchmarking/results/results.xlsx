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AA9310B9-64F5-6341-A559-2DE829997205}" xr6:coauthVersionLast="47" xr6:coauthVersionMax="47" xr10:uidLastSave="{00000000-0000-0000-0000-000000000000}"/>
  <bookViews>
    <workbookView xWindow="0" yWindow="0" windowWidth="38400" windowHeight="21600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K56" i="6" l="1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<sst xmlns="http://schemas.openxmlformats.org/spreadsheetml/2006/main" count="470" uniqueCount="87">
  <si>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</si>
  <si>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</si>
  <si>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</si>
  <si>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</si>
  <si>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</si>
  <si>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</si>
  <si>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</si>
  <si>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</si>
  <si>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</si>
  <si>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</si>
  <si>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</si>
  <si>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</si>
  <si>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</si>
  <si>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</si>
  <si>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</si>
  <si>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</si>
  <si>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</si>
  <si>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</si>
  <si>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</si>
  <si>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</si>
  <si>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</si>
  <si>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</si>
  <si>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</si>
  <si>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</si>
  <si>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</si>
  <si>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</si>
  <si>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</si>
  <si>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</si>
  <si>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</si>
  <si>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</si>
  <si>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</si>
  <si>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</si>
  <si>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</si>
  <si>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</si>
  <si>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</si>
  <si>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</si>
  <si>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</si>
  <si>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</si>
  <si>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</si>
  <si>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</si>
  <si>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</si>
  <si>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</si>
  <si>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</si>
  <si>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</si>
  <si>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</si>
  <si>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</si>
  <si>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</si>
  <si>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</si>
  <si>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</si>
  <si>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</si>
  <si>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</si>
  <si>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</si>
  <si>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</si>
  <si>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</si>
  <si>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</si>
  <si>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</si>
  <si>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</si>
  <si>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</si>
  <si>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</si>
  <si>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</si>
  <si>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</si>
  <si>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</si>
  <si>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</si>
  <si>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</si>
  <si>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</si>
  <si>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</si>
  <si>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</si>
  <si>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</si>
  <si>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</si>
  <si>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</si>
  <si>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</si>
  <si>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</si>
  <si>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</si>
  <si>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</si>
  <si>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</si>
  <si>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</si>
  <si>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</si>
  <si>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</si>
  <si>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</si>
  <si>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</si>
  <si>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</si>
  <si>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</si>
  <si>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</si>
  <si>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</si>
  <si>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</si>
  <si>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TRIPLE CLASSIFICATION F1-WEIGHTED</t>
  </si>
  <si>
    <t>RELATION CLASSIFICATION  F1-WEIGHTED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</si>
</sst>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abSelected="1" topLeftCell="B1" zoomScaleNormal="100" workbookViewId="0">
      <selection activeCell="F12" sqref="F1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85</v>
      </c>
      <c r="J1" s="12" t="s">
        <v>86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0.57438833690000002</v>
      </c>
      <c r="J2" s="11">
        <v>0.56363568119999996</v>
      </c>
      <c r="K2" s="70" t="s">
        <v>15</v>
      </c>
    </row>
    <row r="3" spans="1:12" x14ac:dyDescent="0.2">
      <c r="A3" s="1" t="s">
        <v>3</v>
      </c>
      <c r="B3" s="1" t="s">
        <v>6</v>
      </c>
      <c r="C3" s="64"/>
      <c r="D3" s="65"/>
      <c r="E3" s="65"/>
      <c r="F3" s="11">
        <v>3.9117929099999997E-2</v>
      </c>
      <c r="G3" s="11">
        <v>9.5877280000000004E-4</v>
      </c>
      <c r="H3" s="11">
        <v>0.38044103550000002</v>
      </c>
      <c r="I3" s="11">
        <v>0.53542729820000001</v>
      </c>
      <c r="J3" s="11">
        <v>0.52549201359999997</v>
      </c>
      <c r="K3" s="71"/>
    </row>
    <row r="4" spans="1:12" x14ac:dyDescent="0.2">
      <c r="A4" s="1" t="s">
        <v>4</v>
      </c>
      <c r="B4" s="1" t="s">
        <v>7</v>
      </c>
      <c r="C4" s="64"/>
      <c r="D4" s="65"/>
      <c r="E4" s="65"/>
      <c r="F4" s="11">
        <v>2.1093001000000002E-3</v>
      </c>
      <c r="G4" s="11">
        <v>3.8350910000000001E-4</v>
      </c>
      <c r="H4" s="11">
        <v>0.43509108340000002</v>
      </c>
      <c r="I4" s="11">
        <v>0.58024751610000003</v>
      </c>
      <c r="J4" s="11">
        <v>0.4978749918</v>
      </c>
      <c r="K4" s="71"/>
    </row>
    <row r="6" spans="1:12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0.53999942830000003</v>
      </c>
      <c r="J6" s="11">
        <v>0.54077441869999998</v>
      </c>
      <c r="K6" s="71" t="s">
        <v>16</v>
      </c>
    </row>
    <row r="7" spans="1:12" x14ac:dyDescent="0.2">
      <c r="A7" s="1" t="s">
        <v>3</v>
      </c>
      <c r="B7" s="1" t="s">
        <v>6</v>
      </c>
      <c r="C7" s="64"/>
      <c r="D7" s="65"/>
      <c r="E7" s="65"/>
      <c r="F7" s="11">
        <v>3.2094270899999999E-2</v>
      </c>
      <c r="G7" s="11">
        <v>2.5867023999999999E-3</v>
      </c>
      <c r="H7" s="11">
        <v>0.35351599919999999</v>
      </c>
      <c r="I7" s="11">
        <v>0.5349605033</v>
      </c>
      <c r="J7" s="11">
        <v>0.53556060419999996</v>
      </c>
      <c r="K7" s="71"/>
    </row>
    <row r="8" spans="1:12" x14ac:dyDescent="0.2">
      <c r="A8" s="1" t="s">
        <v>4</v>
      </c>
      <c r="B8" s="1" t="s">
        <v>7</v>
      </c>
      <c r="C8" s="64"/>
      <c r="D8" s="65"/>
      <c r="E8" s="65"/>
      <c r="F8" s="11">
        <v>2.8741139999999998E-4</v>
      </c>
      <c r="G8" s="11">
        <v>1.2454492999999999E-3</v>
      </c>
      <c r="H8" s="11">
        <v>0.4696301974</v>
      </c>
      <c r="I8" s="11">
        <v>0.56417524429999999</v>
      </c>
      <c r="J8" s="11">
        <v>0.518358965</v>
      </c>
      <c r="K8" s="71"/>
    </row>
    <row r="10" spans="1:12" s="59" customFormat="1" x14ac:dyDescent="0.2">
      <c r="A10" s="66" t="s">
        <v>37</v>
      </c>
      <c r="B10" s="66"/>
      <c r="C10" s="66"/>
      <c r="D10" s="66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0.67925847319999999</v>
      </c>
      <c r="J12" s="11">
        <v>0.7111340854</v>
      </c>
      <c r="K12" s="71" t="s">
        <v>18</v>
      </c>
    </row>
    <row r="13" spans="1:12" x14ac:dyDescent="0.2">
      <c r="A13" s="1" t="s">
        <v>3</v>
      </c>
      <c r="B13" s="1" t="s">
        <v>6</v>
      </c>
      <c r="C13" s="64"/>
      <c r="D13" s="65"/>
      <c r="E13" s="65"/>
      <c r="F13" s="11">
        <v>1.0937623800000001E-2</v>
      </c>
      <c r="G13" s="11">
        <v>0</v>
      </c>
      <c r="H13" s="11">
        <v>0.33597527150000001</v>
      </c>
      <c r="I13" s="11">
        <v>0.48911294719999998</v>
      </c>
      <c r="J13" s="11">
        <v>0.54478313199999995</v>
      </c>
      <c r="K13" s="71"/>
    </row>
    <row r="14" spans="1:12" x14ac:dyDescent="0.2">
      <c r="A14" s="1" t="s">
        <v>4</v>
      </c>
      <c r="B14" s="1" t="s">
        <v>7</v>
      </c>
      <c r="C14" s="64"/>
      <c r="D14" s="65"/>
      <c r="E14" s="65"/>
      <c r="F14" s="11">
        <v>2.377744E-4</v>
      </c>
      <c r="G14" s="11">
        <v>6.7369420000000003E-4</v>
      </c>
      <c r="H14" s="11">
        <v>0.99643338349999999</v>
      </c>
      <c r="I14" s="11">
        <v>0.4136900905</v>
      </c>
      <c r="J14" s="11">
        <v>0.60797287919999998</v>
      </c>
      <c r="K14" s="71"/>
    </row>
    <row r="16" spans="1:12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K16" s="71" t="s">
        <v>36</v>
      </c>
    </row>
    <row r="17" spans="1:11" x14ac:dyDescent="0.2">
      <c r="A17" s="1" t="s">
        <v>3</v>
      </c>
      <c r="B17" s="1" t="s">
        <v>6</v>
      </c>
      <c r="C17" s="64"/>
      <c r="D17" s="65"/>
      <c r="E17" s="65"/>
      <c r="K17" s="71"/>
    </row>
    <row r="18" spans="1:11" x14ac:dyDescent="0.2">
      <c r="A18" s="1" t="s">
        <v>4</v>
      </c>
      <c r="B18" s="1" t="s">
        <v>7</v>
      </c>
      <c r="C18" s="64"/>
      <c r="D18" s="65"/>
      <c r="E18" s="65"/>
      <c r="K18" s="71"/>
    </row>
    <row r="20" spans="1:11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1" t="s">
        <v>35</v>
      </c>
    </row>
    <row r="21" spans="1:11" x14ac:dyDescent="0.2">
      <c r="A21" s="1" t="s">
        <v>3</v>
      </c>
      <c r="B21" s="1" t="s">
        <v>6</v>
      </c>
      <c r="C21" s="64"/>
      <c r="D21" s="65"/>
      <c r="E21" s="65"/>
      <c r="F21" s="11">
        <v>0.36964094320000002</v>
      </c>
      <c r="G21" s="11">
        <v>1.3397640000000001E-4</v>
      </c>
      <c r="H21" s="11">
        <v>0.63594140759999995</v>
      </c>
      <c r="I21" s="11">
        <v>0.85885026710000001</v>
      </c>
      <c r="J21" s="11">
        <v>0.7749568309</v>
      </c>
      <c r="K21" s="71"/>
    </row>
    <row r="22" spans="1:11" x14ac:dyDescent="0.2">
      <c r="A22" s="1" t="s">
        <v>4</v>
      </c>
      <c r="B22" s="1" t="s">
        <v>7</v>
      </c>
      <c r="C22" s="64"/>
      <c r="D22" s="65"/>
      <c r="E22" s="65"/>
      <c r="F22" s="11">
        <v>1.786352E-4</v>
      </c>
      <c r="G22" s="11">
        <v>0.18283315459999999</v>
      </c>
      <c r="H22" s="11">
        <v>4.60878885E-2</v>
      </c>
      <c r="I22" s="11">
        <v>0.55591291340000004</v>
      </c>
      <c r="J22" s="11">
        <v>0.35294220799999998</v>
      </c>
      <c r="K22" s="71"/>
    </row>
    <row r="24" spans="1:11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0.84871145309999996</v>
      </c>
      <c r="J24" s="11">
        <v>0.80021173410000002</v>
      </c>
    </row>
    <row r="25" spans="1:11" x14ac:dyDescent="0.2">
      <c r="A25" s="1" t="s">
        <v>3</v>
      </c>
      <c r="B25" s="1" t="s">
        <v>6</v>
      </c>
      <c r="C25" s="64"/>
      <c r="D25" s="65"/>
      <c r="E25" s="65"/>
      <c r="F25" s="11">
        <v>2.2257384000000002E-2</v>
      </c>
      <c r="G25" s="11">
        <v>2.6371309999999998E-4</v>
      </c>
      <c r="H25" s="11">
        <v>0.36339662449999999</v>
      </c>
      <c r="I25" s="11">
        <v>0.57537618469999996</v>
      </c>
      <c r="J25" s="11">
        <v>0.63357712190000004</v>
      </c>
    </row>
    <row r="26" spans="1:11" x14ac:dyDescent="0.2">
      <c r="A26" s="1" t="s">
        <v>4</v>
      </c>
      <c r="B26" s="1" t="s">
        <v>7</v>
      </c>
      <c r="C26" s="64"/>
      <c r="D26" s="65"/>
      <c r="E26" s="65"/>
      <c r="F26" s="11">
        <v>3.9556960000000001E-4</v>
      </c>
      <c r="G26" s="11">
        <v>2.6371309999999998E-4</v>
      </c>
      <c r="H26" s="11">
        <v>1</v>
      </c>
      <c r="I26" s="11">
        <v>0.79791006350000004</v>
      </c>
      <c r="J26" s="11">
        <v>0.27747491489999998</v>
      </c>
    </row>
    <row r="28" spans="1:11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0.7989096738</v>
      </c>
      <c r="J28" s="11">
        <v>0.60950750590000002</v>
      </c>
    </row>
    <row r="29" spans="1:11" x14ac:dyDescent="0.2">
      <c r="A29" s="1" t="s">
        <v>3</v>
      </c>
      <c r="B29" s="1" t="s">
        <v>6</v>
      </c>
      <c r="C29" s="64"/>
      <c r="D29" s="65"/>
      <c r="E29" s="65"/>
      <c r="F29" s="11">
        <v>1.8442843300000001E-2</v>
      </c>
      <c r="G29" s="11">
        <v>5.37692E-5</v>
      </c>
      <c r="H29" s="11">
        <v>0.35874825249999998</v>
      </c>
      <c r="I29" s="11">
        <v>0.59498168819999997</v>
      </c>
      <c r="J29" s="11">
        <v>0.62220035299999998</v>
      </c>
    </row>
    <row r="30" spans="1:11" x14ac:dyDescent="0.2">
      <c r="A30" s="1" t="s">
        <v>4</v>
      </c>
      <c r="B30" s="1" t="s">
        <v>7</v>
      </c>
      <c r="C30" s="64"/>
      <c r="D30" s="65"/>
      <c r="E30" s="65"/>
      <c r="F30" s="11">
        <v>6.9899990000000004E-4</v>
      </c>
      <c r="G30" s="11">
        <v>2.6884609999999997E-4</v>
      </c>
      <c r="H30" s="11">
        <v>1</v>
      </c>
      <c r="I30" s="11">
        <v>0.76702944120000005</v>
      </c>
      <c r="J30" s="11">
        <v>0.27796758100000002</v>
      </c>
    </row>
    <row r="32" spans="1:11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0.88386083839999996</v>
      </c>
      <c r="J32" s="11">
        <v>0.51603915860000005</v>
      </c>
    </row>
    <row r="33" spans="1:11" x14ac:dyDescent="0.2">
      <c r="A33" s="1" t="s">
        <v>3</v>
      </c>
      <c r="B33" s="1" t="s">
        <v>6</v>
      </c>
      <c r="C33" s="64"/>
      <c r="D33" s="65"/>
      <c r="E33" s="65"/>
      <c r="F33" s="11">
        <v>4.8571429999999999E-4</v>
      </c>
      <c r="G33" s="11">
        <v>7.7142849999999995E-4</v>
      </c>
      <c r="H33" s="11">
        <v>7.5257142900000004E-2</v>
      </c>
      <c r="I33" s="11">
        <v>0.51078131569999996</v>
      </c>
      <c r="J33" s="11">
        <v>0.56004145900000002</v>
      </c>
    </row>
    <row r="34" spans="1:11" x14ac:dyDescent="0.2">
      <c r="A34" s="1" t="s">
        <v>4</v>
      </c>
      <c r="B34" s="1" t="s">
        <v>7</v>
      </c>
      <c r="C34" s="64"/>
      <c r="D34" s="65"/>
      <c r="E34" s="65"/>
      <c r="F34" s="11">
        <v>8.5714299999999993E-5</v>
      </c>
      <c r="G34" s="11">
        <v>2.857143E-4</v>
      </c>
      <c r="H34" s="11">
        <v>1</v>
      </c>
      <c r="I34" s="11">
        <v>0.7444025527</v>
      </c>
      <c r="J34" s="11">
        <v>0.28967926030000002</v>
      </c>
    </row>
    <row r="36" spans="1:11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0.81622520009999999</v>
      </c>
      <c r="J36" s="11">
        <v>0.68215240119999998</v>
      </c>
    </row>
    <row r="37" spans="1:11" x14ac:dyDescent="0.2">
      <c r="A37" s="1" t="s">
        <v>3</v>
      </c>
      <c r="B37" s="1" t="s">
        <v>6</v>
      </c>
      <c r="C37" s="64"/>
      <c r="D37" s="65"/>
      <c r="E37" s="65"/>
      <c r="F37" s="11">
        <v>0.12567659680000001</v>
      </c>
      <c r="G37" s="11">
        <v>8.0189299999999995E-5</v>
      </c>
      <c r="H37" s="11">
        <v>0.55410769419999995</v>
      </c>
      <c r="I37" s="11">
        <v>0.69175754229999997</v>
      </c>
      <c r="J37" s="11">
        <v>0.83367986199999999</v>
      </c>
    </row>
    <row r="38" spans="1:11" x14ac:dyDescent="0.2">
      <c r="A38" s="1" t="s">
        <v>4</v>
      </c>
      <c r="B38" s="1" t="s">
        <v>7</v>
      </c>
      <c r="C38" s="64"/>
      <c r="D38" s="65"/>
      <c r="E38" s="65"/>
      <c r="F38" s="11">
        <v>5.4127739999999998E-4</v>
      </c>
      <c r="G38" s="11">
        <v>2.0047310000000001E-4</v>
      </c>
      <c r="H38" s="11">
        <v>1</v>
      </c>
      <c r="I38" s="11">
        <v>0.83321648010000005</v>
      </c>
      <c r="J38" s="11">
        <v>0.24805656309999999</v>
      </c>
    </row>
    <row r="40" spans="1:11" s="59" customFormat="1" x14ac:dyDescent="0.2">
      <c r="A40" s="66" t="s">
        <v>38</v>
      </c>
      <c r="B40" s="66"/>
      <c r="C40" s="66"/>
      <c r="D40" s="66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0.74200403739999998</v>
      </c>
      <c r="J42" s="11">
        <v>0.57024913060000004</v>
      </c>
      <c r="K42" s="71" t="s">
        <v>30</v>
      </c>
    </row>
    <row r="43" spans="1:11" x14ac:dyDescent="0.2">
      <c r="A43" s="1" t="s">
        <v>3</v>
      </c>
      <c r="B43" s="1" t="s">
        <v>6</v>
      </c>
      <c r="C43" s="64"/>
      <c r="D43" s="65"/>
      <c r="E43" s="65"/>
      <c r="F43" s="11">
        <v>0.15768715</v>
      </c>
      <c r="G43" s="11">
        <v>3.9441499999999998E-5</v>
      </c>
      <c r="H43" s="11">
        <v>0.52638636900000002</v>
      </c>
      <c r="I43" s="11">
        <v>0.69545189539999996</v>
      </c>
      <c r="J43" s="11">
        <v>0.7451035896</v>
      </c>
      <c r="K43" s="71"/>
    </row>
    <row r="44" spans="1:11" x14ac:dyDescent="0.2">
      <c r="A44" s="1" t="s">
        <v>4</v>
      </c>
      <c r="B44" s="1" t="s">
        <v>7</v>
      </c>
      <c r="C44" s="64"/>
      <c r="D44" s="65"/>
      <c r="E44" s="65"/>
      <c r="F44" s="11">
        <v>1.5776599999999999E-4</v>
      </c>
      <c r="G44" s="11">
        <v>3.9441509999999999E-4</v>
      </c>
      <c r="H44" s="11">
        <v>1</v>
      </c>
      <c r="I44" s="11">
        <v>0.76069328420000004</v>
      </c>
      <c r="J44" s="11">
        <v>0.35300280709999998</v>
      </c>
      <c r="K44" s="71"/>
    </row>
    <row r="46" spans="1:11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0.76689637619999995</v>
      </c>
      <c r="J46" s="11">
        <v>0.47753796059999998</v>
      </c>
      <c r="K46" s="71" t="s">
        <v>31</v>
      </c>
    </row>
    <row r="47" spans="1:11" x14ac:dyDescent="0.2">
      <c r="A47" s="1" t="s">
        <v>3</v>
      </c>
      <c r="B47" s="1" t="s">
        <v>6</v>
      </c>
      <c r="C47" s="64"/>
      <c r="D47" s="65"/>
      <c r="E47" s="65"/>
      <c r="F47" s="11">
        <v>0.28846457310000001</v>
      </c>
      <c r="G47" s="11">
        <v>3.9450850000000002E-4</v>
      </c>
      <c r="H47" s="11">
        <v>0.62947767080000006</v>
      </c>
      <c r="I47" s="11">
        <v>0.73420197409999999</v>
      </c>
      <c r="J47" s="11">
        <v>0.69566912999999997</v>
      </c>
      <c r="K47" s="71"/>
    </row>
    <row r="48" spans="1:11" x14ac:dyDescent="0.2">
      <c r="A48" s="1" t="s">
        <v>4</v>
      </c>
      <c r="B48" s="1" t="s">
        <v>7</v>
      </c>
      <c r="C48" s="64"/>
      <c r="D48" s="65"/>
      <c r="E48" s="65"/>
      <c r="F48" s="11">
        <v>2.7615590000000002E-4</v>
      </c>
      <c r="G48" s="11">
        <v>5.2075113999999999E-3</v>
      </c>
      <c r="H48" s="11">
        <v>0.59902161909999996</v>
      </c>
      <c r="I48" s="11">
        <v>0.69778750060000005</v>
      </c>
      <c r="J48" s="11">
        <v>0.40179085320000002</v>
      </c>
      <c r="K48" s="71"/>
    </row>
    <row r="50" spans="1:11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0.84746806279999998</v>
      </c>
      <c r="J50" s="11">
        <v>0.67688287540000003</v>
      </c>
    </row>
    <row r="51" spans="1:11" x14ac:dyDescent="0.2">
      <c r="A51" s="1" t="s">
        <v>3</v>
      </c>
      <c r="B51" s="1" t="s">
        <v>6</v>
      </c>
      <c r="C51" s="64"/>
      <c r="D51" s="65"/>
      <c r="E51" s="65"/>
      <c r="F51" s="11">
        <v>3.5391416699999997E-2</v>
      </c>
      <c r="G51" s="11">
        <v>2.4836090000000002E-4</v>
      </c>
      <c r="H51" s="11">
        <v>0.54530101330000003</v>
      </c>
      <c r="I51" s="11">
        <v>0.70820905810000001</v>
      </c>
      <c r="J51" s="11">
        <v>0.77551452759999995</v>
      </c>
    </row>
    <row r="52" spans="1:11" x14ac:dyDescent="0.2">
      <c r="A52" s="1" t="s">
        <v>4</v>
      </c>
      <c r="B52" s="1" t="s">
        <v>7</v>
      </c>
      <c r="C52" s="64"/>
      <c r="D52" s="65"/>
      <c r="E52" s="65"/>
      <c r="F52" s="11">
        <v>9.9344299999999997E-5</v>
      </c>
      <c r="G52" s="11">
        <v>1.4901650000000001E-4</v>
      </c>
      <c r="H52" s="11">
        <v>8.3945957000000002E-3</v>
      </c>
      <c r="I52" s="11">
        <v>0.1434131324</v>
      </c>
      <c r="J52" s="11">
        <v>0.69463278129999995</v>
      </c>
    </row>
    <row r="55" spans="1:11" s="42" customFormat="1" x14ac:dyDescent="0.2">
      <c r="A55" s="63" t="s">
        <v>59</v>
      </c>
      <c r="B55" s="63"/>
      <c r="C55" s="63"/>
      <c r="D55" s="63"/>
      <c r="E55" s="39"/>
      <c r="F55" s="40">
        <f>MAX(F2:F52)</f>
        <v>0.39523043940000002</v>
      </c>
      <c r="G55" s="40">
        <f>MAX(G2:G52)</f>
        <v>0.21803419730000001</v>
      </c>
      <c r="H55" s="40">
        <f>MAX(H2:H52)</f>
        <v>1</v>
      </c>
      <c r="I55" s="40">
        <f>MAX(I2:I52)</f>
        <v>0.88386083839999996</v>
      </c>
      <c r="J55" s="40">
        <f>MAX(J2:J52)</f>
        <v>0.83367986199999999</v>
      </c>
      <c r="K55" s="41"/>
    </row>
    <row r="56" spans="1:11" s="46" customFormat="1" x14ac:dyDescent="0.2">
      <c r="A56" s="69" t="s">
        <v>60</v>
      </c>
      <c r="B56" s="69"/>
      <c r="C56" s="69"/>
      <c r="D56" s="69"/>
      <c r="E56" s="43"/>
      <c r="F56" s="44">
        <f>AVERAGE(F2:F52)</f>
        <v>0.11521239868787879</v>
      </c>
      <c r="G56" s="44">
        <f>AVERAGE(G2:G52)</f>
        <v>4.0409736993939391E-2</v>
      </c>
      <c r="H56" s="44">
        <f>AVERAGE(H2:H52)</f>
        <v>0.55629249514242429</v>
      </c>
      <c r="I56" s="44">
        <f>AVERAGE(I2:I52)</f>
        <v>0.67128798901212117</v>
      </c>
      <c r="J56" s="44">
        <f>AVERAGE(J2:J52)</f>
        <v>0.55575878672727275</v>
      </c>
      <c r="K56" s="45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5" activePane="bottomLeft" state="frozen"/>
      <selection pane="bottomLeft" activeCell="C50" sqref="C50:C5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G2" s="11"/>
      <c r="H2" s="11"/>
      <c r="I2" s="11"/>
      <c r="J2" s="11"/>
      <c r="K2" s="70" t="s">
        <v>15</v>
      </c>
    </row>
    <row r="3" spans="1:12" x14ac:dyDescent="0.2">
      <c r="A3" s="1" t="s">
        <v>3</v>
      </c>
      <c r="B3" s="1" t="s">
        <v>6</v>
      </c>
      <c r="C3" s="64"/>
      <c r="D3" s="65"/>
      <c r="E3" s="65"/>
      <c r="G3" s="11"/>
      <c r="H3" s="11"/>
      <c r="I3" s="11"/>
      <c r="J3" s="11"/>
      <c r="K3" s="71"/>
    </row>
    <row r="4" spans="1:12" x14ac:dyDescent="0.2">
      <c r="A4" s="1" t="s">
        <v>4</v>
      </c>
      <c r="B4" s="1" t="s">
        <v>7</v>
      </c>
      <c r="C4" s="64"/>
      <c r="D4" s="65"/>
      <c r="E4" s="65"/>
      <c r="G4" s="11"/>
      <c r="H4" s="11"/>
      <c r="I4" s="11"/>
      <c r="J4" s="11"/>
      <c r="K4" s="71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G6" s="11"/>
      <c r="H6" s="11"/>
      <c r="I6" s="11"/>
      <c r="J6" s="11"/>
      <c r="K6" s="71" t="s">
        <v>16</v>
      </c>
    </row>
    <row r="7" spans="1:12" x14ac:dyDescent="0.2">
      <c r="A7" s="1" t="s">
        <v>3</v>
      </c>
      <c r="B7" s="1" t="s">
        <v>6</v>
      </c>
      <c r="C7" s="64"/>
      <c r="D7" s="65"/>
      <c r="E7" s="65"/>
      <c r="G7" s="11"/>
      <c r="H7" s="11"/>
      <c r="I7" s="11"/>
      <c r="J7" s="11"/>
      <c r="K7" s="71"/>
    </row>
    <row r="8" spans="1:12" x14ac:dyDescent="0.2">
      <c r="A8" s="1" t="s">
        <v>4</v>
      </c>
      <c r="B8" s="1" t="s">
        <v>7</v>
      </c>
      <c r="C8" s="64"/>
      <c r="D8" s="65"/>
      <c r="E8" s="65"/>
      <c r="G8" s="11"/>
      <c r="H8" s="11"/>
      <c r="I8" s="11"/>
      <c r="J8" s="11"/>
      <c r="K8" s="71"/>
    </row>
    <row r="9" spans="1:12" x14ac:dyDescent="0.2">
      <c r="G9" s="11"/>
      <c r="H9" s="11"/>
      <c r="I9" s="11"/>
      <c r="J9" s="11"/>
    </row>
    <row r="10" spans="1:12" s="59" customFormat="1" x14ac:dyDescent="0.2">
      <c r="A10" s="66" t="s">
        <v>37</v>
      </c>
      <c r="B10" s="66"/>
      <c r="C10" s="66"/>
      <c r="D10" s="66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G12" s="11"/>
      <c r="H12" s="11"/>
      <c r="I12" s="11"/>
      <c r="J12" s="11"/>
      <c r="K12" s="71" t="s">
        <v>18</v>
      </c>
    </row>
    <row r="13" spans="1:12" x14ac:dyDescent="0.2">
      <c r="A13" s="1" t="s">
        <v>3</v>
      </c>
      <c r="B13" s="1" t="s">
        <v>6</v>
      </c>
      <c r="C13" s="64"/>
      <c r="D13" s="65"/>
      <c r="E13" s="65"/>
      <c r="G13" s="11"/>
      <c r="H13" s="11"/>
      <c r="I13" s="11"/>
      <c r="J13" s="11"/>
      <c r="K13" s="71"/>
    </row>
    <row r="14" spans="1:12" x14ac:dyDescent="0.2">
      <c r="A14" s="1" t="s">
        <v>4</v>
      </c>
      <c r="B14" s="1" t="s">
        <v>7</v>
      </c>
      <c r="C14" s="64"/>
      <c r="D14" s="65"/>
      <c r="E14" s="65"/>
      <c r="G14" s="11"/>
      <c r="H14" s="11"/>
      <c r="I14" s="11"/>
      <c r="J14" s="11"/>
      <c r="K14" s="71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G16" s="11"/>
      <c r="H16" s="11"/>
      <c r="I16" s="11"/>
      <c r="J16" s="11"/>
      <c r="K16" s="71" t="s">
        <v>36</v>
      </c>
    </row>
    <row r="17" spans="1:11" x14ac:dyDescent="0.2">
      <c r="A17" s="1" t="s">
        <v>3</v>
      </c>
      <c r="B17" s="1" t="s">
        <v>6</v>
      </c>
      <c r="C17" s="64"/>
      <c r="D17" s="65"/>
      <c r="E17" s="65"/>
      <c r="G17" s="11"/>
      <c r="H17" s="11"/>
      <c r="I17" s="11"/>
      <c r="J17" s="11"/>
      <c r="K17" s="71"/>
    </row>
    <row r="18" spans="1:11" x14ac:dyDescent="0.2">
      <c r="A18" s="1" t="s">
        <v>4</v>
      </c>
      <c r="B18" s="1" t="s">
        <v>7</v>
      </c>
      <c r="C18" s="64"/>
      <c r="D18" s="65"/>
      <c r="E18" s="65"/>
      <c r="G18" s="11"/>
      <c r="H18" s="11"/>
      <c r="I18" s="11"/>
      <c r="J18" s="11"/>
      <c r="K18" s="71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G20" s="11"/>
      <c r="H20" s="11"/>
      <c r="I20" s="11"/>
      <c r="J20" s="11"/>
      <c r="K20" s="71" t="s">
        <v>35</v>
      </c>
    </row>
    <row r="21" spans="1:11" x14ac:dyDescent="0.2">
      <c r="A21" s="1" t="s">
        <v>3</v>
      </c>
      <c r="B21" s="1" t="s">
        <v>6</v>
      </c>
      <c r="C21" s="64"/>
      <c r="D21" s="65"/>
      <c r="E21" s="65"/>
      <c r="G21" s="11"/>
      <c r="H21" s="11"/>
      <c r="I21" s="11"/>
      <c r="J21" s="11"/>
      <c r="K21" s="71"/>
    </row>
    <row r="22" spans="1:11" x14ac:dyDescent="0.2">
      <c r="A22" s="1" t="s">
        <v>4</v>
      </c>
      <c r="B22" s="1" t="s">
        <v>7</v>
      </c>
      <c r="C22" s="64"/>
      <c r="D22" s="65"/>
      <c r="E22" s="65"/>
      <c r="G22" s="11"/>
      <c r="H22" s="11"/>
      <c r="I22" s="11"/>
      <c r="J22" s="11"/>
      <c r="K22" s="71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G24" s="11"/>
      <c r="H24" s="11"/>
      <c r="I24" s="11"/>
      <c r="J24" s="11"/>
    </row>
    <row r="25" spans="1:11" x14ac:dyDescent="0.2">
      <c r="A25" s="1" t="s">
        <v>3</v>
      </c>
      <c r="B25" s="1" t="s">
        <v>6</v>
      </c>
      <c r="C25" s="64"/>
      <c r="D25" s="65"/>
      <c r="E25" s="65"/>
      <c r="G25" s="11"/>
      <c r="H25" s="11"/>
      <c r="I25" s="11"/>
      <c r="J25" s="11"/>
    </row>
    <row r="26" spans="1:11" x14ac:dyDescent="0.2">
      <c r="A26" s="1" t="s">
        <v>4</v>
      </c>
      <c r="B26" s="1" t="s">
        <v>7</v>
      </c>
      <c r="C26" s="64"/>
      <c r="D26" s="65"/>
      <c r="E26" s="65"/>
      <c r="G26" s="11"/>
      <c r="H26" s="11"/>
      <c r="I26" s="11"/>
      <c r="J26" s="11"/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G28" s="11"/>
      <c r="H28" s="11"/>
      <c r="I28" s="11"/>
      <c r="J28" s="11"/>
    </row>
    <row r="29" spans="1:11" x14ac:dyDescent="0.2">
      <c r="A29" s="1" t="s">
        <v>3</v>
      </c>
      <c r="B29" s="1" t="s">
        <v>6</v>
      </c>
      <c r="C29" s="64"/>
      <c r="D29" s="65"/>
      <c r="E29" s="65"/>
      <c r="G29" s="11"/>
      <c r="H29" s="11"/>
      <c r="I29" s="11"/>
      <c r="J29" s="11"/>
    </row>
    <row r="30" spans="1:11" x14ac:dyDescent="0.2">
      <c r="A30" s="1" t="s">
        <v>4</v>
      </c>
      <c r="B30" s="1" t="s">
        <v>7</v>
      </c>
      <c r="C30" s="64"/>
      <c r="D30" s="65"/>
      <c r="E30" s="65"/>
      <c r="G30" s="11"/>
      <c r="H30" s="11"/>
      <c r="I30" s="11"/>
      <c r="J30" s="11"/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G32" s="11"/>
      <c r="H32" s="11"/>
      <c r="I32" s="11"/>
      <c r="J32" s="11"/>
    </row>
    <row r="33" spans="1:11" x14ac:dyDescent="0.2">
      <c r="A33" s="1" t="s">
        <v>3</v>
      </c>
      <c r="B33" s="1" t="s">
        <v>6</v>
      </c>
      <c r="C33" s="64"/>
      <c r="D33" s="65"/>
      <c r="E33" s="65"/>
      <c r="G33" s="11"/>
      <c r="H33" s="11"/>
      <c r="I33" s="11"/>
      <c r="J33" s="11"/>
    </row>
    <row r="34" spans="1:11" x14ac:dyDescent="0.2">
      <c r="A34" s="1" t="s">
        <v>4</v>
      </c>
      <c r="B34" s="1" t="s">
        <v>7</v>
      </c>
      <c r="C34" s="64"/>
      <c r="D34" s="65"/>
      <c r="E34" s="65"/>
      <c r="G34" s="11"/>
      <c r="H34" s="11"/>
      <c r="I34" s="11"/>
      <c r="J34" s="11"/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G36" s="11"/>
      <c r="H36" s="11"/>
      <c r="I36" s="11"/>
      <c r="J36" s="11"/>
    </row>
    <row r="37" spans="1:11" x14ac:dyDescent="0.2">
      <c r="A37" s="1" t="s">
        <v>3</v>
      </c>
      <c r="B37" s="1" t="s">
        <v>6</v>
      </c>
      <c r="C37" s="64"/>
      <c r="D37" s="65"/>
      <c r="E37" s="65"/>
      <c r="G37" s="11"/>
      <c r="H37" s="11"/>
      <c r="I37" s="11"/>
      <c r="J37" s="11"/>
    </row>
    <row r="38" spans="1:11" x14ac:dyDescent="0.2">
      <c r="A38" s="1" t="s">
        <v>4</v>
      </c>
      <c r="B38" s="1" t="s">
        <v>7</v>
      </c>
      <c r="C38" s="64"/>
      <c r="D38" s="65"/>
      <c r="E38" s="65"/>
      <c r="G38" s="11"/>
      <c r="H38" s="11"/>
      <c r="I38" s="11"/>
      <c r="J38" s="11"/>
    </row>
    <row r="39" spans="1:11" x14ac:dyDescent="0.2">
      <c r="G39" s="11"/>
      <c r="H39" s="11"/>
      <c r="I39" s="11"/>
      <c r="J39" s="11"/>
    </row>
    <row r="40" spans="1:11" s="59" customFormat="1" x14ac:dyDescent="0.2">
      <c r="A40" s="66" t="s">
        <v>38</v>
      </c>
      <c r="B40" s="66"/>
      <c r="C40" s="66"/>
      <c r="D40" s="66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G42" s="11"/>
      <c r="H42" s="11"/>
      <c r="I42" s="11"/>
      <c r="J42" s="11"/>
      <c r="K42" s="71" t="s">
        <v>30</v>
      </c>
    </row>
    <row r="43" spans="1:11" x14ac:dyDescent="0.2">
      <c r="A43" s="1" t="s">
        <v>3</v>
      </c>
      <c r="B43" s="1" t="s">
        <v>6</v>
      </c>
      <c r="C43" s="64"/>
      <c r="D43" s="65"/>
      <c r="E43" s="65"/>
      <c r="G43" s="11"/>
      <c r="H43" s="11"/>
      <c r="I43" s="11"/>
      <c r="J43" s="11"/>
      <c r="K43" s="71"/>
    </row>
    <row r="44" spans="1:11" x14ac:dyDescent="0.2">
      <c r="A44" s="1" t="s">
        <v>4</v>
      </c>
      <c r="B44" s="1" t="s">
        <v>7</v>
      </c>
      <c r="C44" s="64"/>
      <c r="D44" s="65"/>
      <c r="E44" s="65"/>
      <c r="G44" s="11"/>
      <c r="H44" s="11"/>
      <c r="I44" s="11"/>
      <c r="J44" s="11"/>
      <c r="K44" s="71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G46" s="11"/>
      <c r="H46" s="11"/>
      <c r="I46" s="11"/>
      <c r="J46" s="11"/>
      <c r="K46" s="71" t="s">
        <v>31</v>
      </c>
    </row>
    <row r="47" spans="1:11" x14ac:dyDescent="0.2">
      <c r="A47" s="1" t="s">
        <v>3</v>
      </c>
      <c r="B47" s="1" t="s">
        <v>6</v>
      </c>
      <c r="C47" s="64"/>
      <c r="D47" s="65"/>
      <c r="E47" s="65"/>
      <c r="G47" s="11"/>
      <c r="H47" s="11"/>
      <c r="I47" s="11"/>
      <c r="J47" s="11"/>
      <c r="K47" s="71"/>
    </row>
    <row r="48" spans="1:11" x14ac:dyDescent="0.2">
      <c r="A48" s="1" t="s">
        <v>4</v>
      </c>
      <c r="B48" s="1" t="s">
        <v>7</v>
      </c>
      <c r="C48" s="64"/>
      <c r="D48" s="65"/>
      <c r="E48" s="65"/>
      <c r="G48" s="11"/>
      <c r="H48" s="11"/>
      <c r="I48" s="11"/>
      <c r="J48" s="11"/>
      <c r="K48" s="71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G50" s="11"/>
      <c r="H50" s="11"/>
      <c r="I50" s="11"/>
      <c r="J50" s="11"/>
    </row>
    <row r="51" spans="1:11" x14ac:dyDescent="0.2">
      <c r="A51" s="1" t="s">
        <v>3</v>
      </c>
      <c r="B51" s="1" t="s">
        <v>6</v>
      </c>
      <c r="C51" s="64"/>
      <c r="D51" s="65"/>
      <c r="E51" s="65"/>
      <c r="G51" s="11"/>
      <c r="H51" s="11"/>
      <c r="I51" s="11"/>
      <c r="J51" s="11"/>
    </row>
    <row r="52" spans="1:11" x14ac:dyDescent="0.2">
      <c r="A52" s="1" t="s">
        <v>4</v>
      </c>
      <c r="B52" s="1" t="s">
        <v>7</v>
      </c>
      <c r="C52" s="64"/>
      <c r="D52" s="65"/>
      <c r="E52" s="65"/>
      <c r="G52" s="11"/>
      <c r="H52" s="11"/>
      <c r="I52" s="11"/>
      <c r="J52" s="11"/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63" t="s">
        <v>59</v>
      </c>
      <c r="B55" s="63"/>
      <c r="C55" s="63"/>
      <c r="D55" s="63"/>
      <c r="E55" s="39"/>
      <c r="F55" s="40">
        <f>MAX(F2:F52)</f>
        <v>0</v>
      </c>
      <c r="G55" s="40">
        <f>MAX(G2:G52)</f>
        <v>0</v>
      </c>
      <c r="H55" s="40">
        <f>MAX(H2:H52)</f>
        <v>0</v>
      </c>
      <c r="I55" s="40">
        <f>MAX(I2:I52)</f>
        <v>0</v>
      </c>
      <c r="J55" s="40">
        <f>MAX(J2:J52)</f>
        <v>0</v>
      </c>
      <c r="K55" s="41"/>
    </row>
    <row r="56" spans="1:11" s="46" customFormat="1" x14ac:dyDescent="0.2">
      <c r="A56" s="69" t="s">
        <v>60</v>
      </c>
      <c r="B56" s="69"/>
      <c r="C56" s="69"/>
      <c r="D56" s="69"/>
      <c r="E56" s="43"/>
      <c r="F56" s="44" t="e">
        <f>AVERAGE(F2:F52)</f>
        <v>#DIV/0!</v>
      </c>
      <c r="G56" s="44" t="e">
        <f>AVERAGE(G2:G52)</f>
        <v>#DIV/0!</v>
      </c>
      <c r="H56" s="44" t="e">
        <f>AVERAGE(H2:H52)</f>
        <v>#DIV/0!</v>
      </c>
      <c r="I56" s="44" t="e">
        <f>AVERAGE(I2:I52)</f>
        <v>#DIV/0!</v>
      </c>
      <c r="J56" s="44" t="e">
        <f>AVERAGE(J2:J52)</f>
        <v>#DIV/0!</v>
      </c>
      <c r="K56" s="45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6" activePane="bottomLeft" state="frozen"/>
      <selection pane="bottomLeft" activeCell="I34" sqref="I3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K2" s="11">
        <f>SUM(F2*1/3,G2*1/3,I2*1/3)</f>
        <v>0</v>
      </c>
      <c r="L2" s="11">
        <f>SUM(H2*1/2,J2*1/2)</f>
        <v>0</v>
      </c>
      <c r="M2" s="11">
        <f>SUM(F2*1/5,G2*1/5,H2*1/5,I2*1/5,J2*1/5)</f>
        <v>0</v>
      </c>
      <c r="N2" s="70" t="s">
        <v>15</v>
      </c>
    </row>
    <row r="3" spans="1:15" x14ac:dyDescent="0.2">
      <c r="A3" s="1" t="s">
        <v>3</v>
      </c>
      <c r="B3" s="1" t="s">
        <v>6</v>
      </c>
      <c r="C3" s="64"/>
      <c r="D3" s="65"/>
      <c r="E3" s="65"/>
      <c r="K3" s="11">
        <f>SUM(F3*1/3,G3*1/3,I3*1/3)</f>
        <v>0</v>
      </c>
      <c r="L3" s="11">
        <f>SUM(H3*1/2,J3*1/2)</f>
        <v>0</v>
      </c>
      <c r="M3" s="11">
        <f>SUM(F3*1/5,G3*1/5,H3*1/5,I3*1/5,J3*1/5)</f>
        <v>0</v>
      </c>
      <c r="N3" s="71"/>
    </row>
    <row r="4" spans="1:15" x14ac:dyDescent="0.2">
      <c r="A4" s="1" t="s">
        <v>4</v>
      </c>
      <c r="B4" s="1" t="s">
        <v>7</v>
      </c>
      <c r="C4" s="64"/>
      <c r="D4" s="65"/>
      <c r="E4" s="65"/>
      <c r="K4" s="11">
        <f>SUM(F4*1/3,G4*1/3,I4*1/3)</f>
        <v>0</v>
      </c>
      <c r="L4" s="11">
        <f>SUM(H4*1/2,J4*1/2)</f>
        <v>0</v>
      </c>
      <c r="M4" s="11">
        <f>SUM(F4*1/5,G4*1/5,H4*1/5,I4*1/5,J4*1/5)</f>
        <v>0</v>
      </c>
      <c r="N4" s="71"/>
    </row>
    <row r="6" spans="1:15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K6" s="11">
        <f>SUM(F6*1/3,G6*1/3,I6*1/3)</f>
        <v>0</v>
      </c>
      <c r="L6" s="11">
        <f>SUM(H6*1/2,J6*1/2)</f>
        <v>0</v>
      </c>
      <c r="M6" s="11">
        <f>SUM(F6*1/5,G6*1/5,H6*1/5,I6*1/5,J6*1/5)</f>
        <v>0</v>
      </c>
      <c r="N6" s="71" t="s">
        <v>16</v>
      </c>
    </row>
    <row r="7" spans="1:15" x14ac:dyDescent="0.2">
      <c r="A7" s="1" t="s">
        <v>3</v>
      </c>
      <c r="B7" s="1" t="s">
        <v>6</v>
      </c>
      <c r="C7" s="64"/>
      <c r="D7" s="65"/>
      <c r="E7" s="65"/>
      <c r="K7" s="11">
        <f>SUM(F7*1/3,G7*1/3,I7*1/3)</f>
        <v>0</v>
      </c>
      <c r="L7" s="11">
        <f>SUM(H7*1/2,J7*1/2)</f>
        <v>0</v>
      </c>
      <c r="M7" s="11">
        <f>SUM(F7*1/5,G7*1/5,H7*1/5,I7*1/5,J7*1/5)</f>
        <v>0</v>
      </c>
      <c r="N7" s="71"/>
    </row>
    <row r="8" spans="1:15" x14ac:dyDescent="0.2">
      <c r="A8" s="1" t="s">
        <v>4</v>
      </c>
      <c r="B8" s="1" t="s">
        <v>7</v>
      </c>
      <c r="C8" s="64"/>
      <c r="D8" s="65"/>
      <c r="E8" s="65"/>
      <c r="K8" s="11">
        <f>SUM(F8*1/3,G8*1/3,I8*1/3)</f>
        <v>0</v>
      </c>
      <c r="L8" s="11">
        <f>SUM(H8*1/2,J8*1/2)</f>
        <v>0</v>
      </c>
      <c r="M8" s="11">
        <f>SUM(F8*1/5,G8*1/5,H8*1/5,I8*1/5,J8*1/5)</f>
        <v>0</v>
      </c>
      <c r="N8" s="71"/>
    </row>
    <row r="10" spans="1:15" s="2" customFormat="1" x14ac:dyDescent="0.2">
      <c r="A10" s="73" t="s">
        <v>37</v>
      </c>
      <c r="B10" s="73"/>
      <c r="C10" s="73"/>
      <c r="D10" s="73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K12" s="11">
        <f>SUM(F12*1/3,G12*1/3,I12*1/3)</f>
        <v>0</v>
      </c>
      <c r="L12" s="11">
        <f>SUM(H12*1/2,J12*1/2)</f>
        <v>0</v>
      </c>
      <c r="M12" s="11">
        <f>SUM(F12*1/5,G12*1/5,H12*1/5,I12*1/5,J12*1/5)</f>
        <v>0</v>
      </c>
      <c r="N12" s="71" t="s">
        <v>18</v>
      </c>
    </row>
    <row r="13" spans="1:15" x14ac:dyDescent="0.2">
      <c r="A13" s="1" t="s">
        <v>3</v>
      </c>
      <c r="B13" s="1" t="s">
        <v>6</v>
      </c>
      <c r="C13" s="64"/>
      <c r="D13" s="65"/>
      <c r="E13" s="65"/>
      <c r="K13" s="11">
        <f>SUM(F13*1/3,G13*1/3,I13*1/3)</f>
        <v>0</v>
      </c>
      <c r="L13" s="11">
        <f>SUM(H13*1/2,J13*1/2)</f>
        <v>0</v>
      </c>
      <c r="M13" s="11">
        <f>SUM(F13*1/5,G13*1/5,H13*1/5,I13*1/5,J13*1/5)</f>
        <v>0</v>
      </c>
      <c r="N13" s="71"/>
    </row>
    <row r="14" spans="1:15" x14ac:dyDescent="0.2">
      <c r="A14" s="1" t="s">
        <v>4</v>
      </c>
      <c r="B14" s="1" t="s">
        <v>7</v>
      </c>
      <c r="C14" s="64"/>
      <c r="D14" s="65"/>
      <c r="E14" s="65"/>
      <c r="K14" s="11">
        <f>SUM(F14*1/3,G14*1/3,I14*1/3)</f>
        <v>0</v>
      </c>
      <c r="L14" s="11">
        <f>SUM(H14*1/2,J14*1/2)</f>
        <v>0</v>
      </c>
      <c r="M14" s="11">
        <f>SUM(F14*1/5,G14*1/5,H14*1/5,I14*1/5,J14*1/5)</f>
        <v>0</v>
      </c>
      <c r="N14" s="71"/>
    </row>
    <row r="16" spans="1:15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K16" s="11">
        <f>SUM(F16*1/3,G16*1/3,I16*1/3)</f>
        <v>0</v>
      </c>
      <c r="L16" s="11">
        <f>SUM(H16*1/2,J16*1/2)</f>
        <v>0</v>
      </c>
      <c r="M16" s="11">
        <f>SUM(F16*1/5,G16*1/5,H16*1/5,I16*1/5,J16*1/5)</f>
        <v>0</v>
      </c>
      <c r="N16" s="71" t="s">
        <v>36</v>
      </c>
    </row>
    <row r="17" spans="1:14" x14ac:dyDescent="0.2">
      <c r="A17" s="1" t="s">
        <v>3</v>
      </c>
      <c r="B17" s="1" t="s">
        <v>6</v>
      </c>
      <c r="C17" s="64"/>
      <c r="D17" s="65"/>
      <c r="E17" s="65"/>
      <c r="K17" s="11">
        <f>SUM(F17*1/3,G17*1/3,I17*1/3)</f>
        <v>0</v>
      </c>
      <c r="L17" s="11">
        <f>SUM(H17*1/2,J17*1/2)</f>
        <v>0</v>
      </c>
      <c r="M17" s="11">
        <f>SUM(F17*1/5,G17*1/5,H17*1/5,I17*1/5,J17*1/5)</f>
        <v>0</v>
      </c>
      <c r="N17" s="71"/>
    </row>
    <row r="18" spans="1:14" x14ac:dyDescent="0.2">
      <c r="A18" s="1" t="s">
        <v>4</v>
      </c>
      <c r="B18" s="1" t="s">
        <v>7</v>
      </c>
      <c r="C18" s="64"/>
      <c r="D18" s="65"/>
      <c r="E18" s="65"/>
      <c r="K18" s="11">
        <f>SUM(F18*1/3,G18*1/3,I18*1/3)</f>
        <v>0</v>
      </c>
      <c r="L18" s="54">
        <f>SUM(H18*1/2,J18*1/2)</f>
        <v>0</v>
      </c>
      <c r="M18" s="11">
        <f>SUM(F18*1/5,G18*1/5,H18*1/5,I18*1/5,J18*1/5)</f>
        <v>0</v>
      </c>
      <c r="N18" s="71"/>
    </row>
    <row r="20" spans="1:14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K20" s="11">
        <f>SUM(F20*1/3,G20*1/3,I20*1/3)</f>
        <v>0</v>
      </c>
      <c r="L20" s="11">
        <f>SUM(H20*1/2,J20*1/2)</f>
        <v>0</v>
      </c>
      <c r="M20" s="11">
        <f>SUM(F20*1/5,G20*1/5,H20*1/5,I20*1/5,J20*1/5)</f>
        <v>0</v>
      </c>
      <c r="N20" s="71" t="s">
        <v>35</v>
      </c>
    </row>
    <row r="21" spans="1:14" x14ac:dyDescent="0.2">
      <c r="A21" s="1" t="s">
        <v>3</v>
      </c>
      <c r="B21" s="1" t="s">
        <v>6</v>
      </c>
      <c r="C21" s="64"/>
      <c r="D21" s="65"/>
      <c r="E21" s="65"/>
      <c r="K21" s="11">
        <f>SUM(F21*1/3,G21*1/3,I21*1/3)</f>
        <v>0</v>
      </c>
      <c r="L21" s="11">
        <f>SUM(H21*1/2,J21*1/2)</f>
        <v>0</v>
      </c>
      <c r="M21" s="54">
        <f>SUM(F21*1/5,G21*1/5,H21*1/5,I21*1/5,J21*1/5)</f>
        <v>0</v>
      </c>
      <c r="N21" s="71"/>
    </row>
    <row r="22" spans="1:14" x14ac:dyDescent="0.2">
      <c r="A22" s="1" t="s">
        <v>4</v>
      </c>
      <c r="B22" s="1" t="s">
        <v>7</v>
      </c>
      <c r="C22" s="64"/>
      <c r="D22" s="65"/>
      <c r="E22" s="65"/>
      <c r="K22" s="11">
        <f>SUM(F22*1/3,G22*1/3,I22*1/3)</f>
        <v>0</v>
      </c>
      <c r="L22" s="11">
        <f>SUM(H22*1/2,J22*1/2)</f>
        <v>0</v>
      </c>
      <c r="M22" s="11">
        <f>SUM(F22*1/5,G22*1/5,H22*1/5,I22*1/5,J22*1/5)</f>
        <v>0</v>
      </c>
      <c r="N22" s="71"/>
    </row>
    <row r="24" spans="1:14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K24" s="11">
        <f>SUM(F24*1/3,G24*1/3,I24*1/3)</f>
        <v>0</v>
      </c>
      <c r="L24" s="11">
        <f>SUM(H24*1/2,J24*1/2)</f>
        <v>0</v>
      </c>
      <c r="M24" s="11">
        <f>SUM(F24*1/5,G24*1/5,H24*1/5,I24*1/5,J24*1/5)</f>
        <v>0</v>
      </c>
    </row>
    <row r="25" spans="1:14" x14ac:dyDescent="0.2">
      <c r="A25" s="1" t="s">
        <v>3</v>
      </c>
      <c r="B25" s="1" t="s">
        <v>6</v>
      </c>
      <c r="C25" s="64"/>
      <c r="D25" s="65"/>
      <c r="E25" s="65"/>
      <c r="K25" s="11">
        <f>SUM(F25*1/3,G25*1/3,I25*1/3)</f>
        <v>0</v>
      </c>
      <c r="L25" s="11">
        <f>SUM(H25*1/2,J25*1/2)</f>
        <v>0</v>
      </c>
      <c r="M25" s="11">
        <f>SUM(F25*1/5,G25*1/5,H25*1/5,I25*1/5,J25*1/5)</f>
        <v>0</v>
      </c>
    </row>
    <row r="26" spans="1:14" x14ac:dyDescent="0.2">
      <c r="A26" s="1" t="s">
        <v>4</v>
      </c>
      <c r="B26" s="1" t="s">
        <v>7</v>
      </c>
      <c r="C26" s="64"/>
      <c r="D26" s="65"/>
      <c r="E26" s="65"/>
      <c r="K26" s="11">
        <f>SUM(F26*1/3,G26*1/3,I26*1/3)</f>
        <v>0</v>
      </c>
      <c r="L26" s="11">
        <f>SUM(H26*1/2,J26*1/2)</f>
        <v>0</v>
      </c>
      <c r="M26" s="11">
        <f>SUM(F26*1/5,G26*1/5,H26*1/5,I26*1/5,J26*1/5)</f>
        <v>0</v>
      </c>
    </row>
    <row r="28" spans="1:14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K28" s="11">
        <f>SUM(F28*1/3,G28*1/3,I28*1/3)</f>
        <v>0</v>
      </c>
      <c r="L28" s="11">
        <f>SUM(H28*1/2,J28*1/2)</f>
        <v>0</v>
      </c>
      <c r="M28" s="11">
        <f>SUM(F28*1/5,G28*1/5,H28*1/5,I28*1/5,J28*1/5)</f>
        <v>0</v>
      </c>
    </row>
    <row r="29" spans="1:14" x14ac:dyDescent="0.2">
      <c r="A29" s="1" t="s">
        <v>3</v>
      </c>
      <c r="B29" s="1" t="s">
        <v>6</v>
      </c>
      <c r="C29" s="64"/>
      <c r="D29" s="65"/>
      <c r="E29" s="65"/>
      <c r="K29" s="11">
        <f>SUM(F29*1/3,G29*1/3,I29*1/3)</f>
        <v>0</v>
      </c>
      <c r="L29" s="11">
        <f>SUM(H29*1/2,J29*1/2)</f>
        <v>0</v>
      </c>
      <c r="M29" s="11">
        <f>SUM(F29*1/5,G29*1/5,H29*1/5,I29*1/5,J29*1/5)</f>
        <v>0</v>
      </c>
    </row>
    <row r="30" spans="1:14" x14ac:dyDescent="0.2">
      <c r="A30" s="1" t="s">
        <v>4</v>
      </c>
      <c r="B30" s="1" t="s">
        <v>7</v>
      </c>
      <c r="C30" s="64"/>
      <c r="D30" s="65"/>
      <c r="E30" s="65"/>
      <c r="K30" s="11">
        <f>SUM(F30*1/3,G30*1/3,I30*1/3)</f>
        <v>0</v>
      </c>
      <c r="L30" s="11">
        <f>SUM(H30*1/2,J30*1/2)</f>
        <v>0</v>
      </c>
      <c r="M30" s="11">
        <f>SUM(F30*1/5,G30*1/5,H30*1/5,I30*1/5,J30*1/5)</f>
        <v>0</v>
      </c>
    </row>
    <row r="32" spans="1:14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K32" s="11">
        <f>SUM(F32*1/3,G32*1/3,I32*1/3)</f>
        <v>0</v>
      </c>
      <c r="L32" s="11">
        <f>SUM(H32*1/2,J32*1/2)</f>
        <v>0</v>
      </c>
      <c r="M32" s="11">
        <f>SUM(F32*1/5,G32*1/5,H32*1/5,I32*1/5,J32*1/5)</f>
        <v>0</v>
      </c>
    </row>
    <row r="33" spans="1:14" x14ac:dyDescent="0.2">
      <c r="A33" s="1" t="s">
        <v>3</v>
      </c>
      <c r="B33" s="1" t="s">
        <v>6</v>
      </c>
      <c r="C33" s="64"/>
      <c r="D33" s="65"/>
      <c r="E33" s="65"/>
      <c r="K33" s="54">
        <f>SUM(F33*1/3,G33*1/3,I33*1/3)</f>
        <v>0</v>
      </c>
      <c r="L33" s="11">
        <f>SUM(H33*1/2,J33*1/2)</f>
        <v>0</v>
      </c>
      <c r="M33" s="11">
        <f>SUM(F33*1/5,G33*1/5,H33*1/5,I33*1/5,J33*1/5)</f>
        <v>0</v>
      </c>
    </row>
    <row r="34" spans="1:14" x14ac:dyDescent="0.2">
      <c r="A34" s="1" t="s">
        <v>4</v>
      </c>
      <c r="B34" s="1" t="s">
        <v>7</v>
      </c>
      <c r="C34" s="64"/>
      <c r="D34" s="65"/>
      <c r="E34" s="65"/>
      <c r="K34" s="11">
        <f>SUM(F34*1/3,G34*1/3,I34*1/3)</f>
        <v>0</v>
      </c>
      <c r="L34" s="11">
        <f>SUM(H34*1/2,J34*1/2)</f>
        <v>0</v>
      </c>
      <c r="M34" s="11">
        <f>SUM(F34*1/5,G34*1/5,H34*1/5,I34*1/5,J34*1/5)</f>
        <v>0</v>
      </c>
    </row>
    <row r="36" spans="1:14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K36" s="11">
        <f>SUM(F36*1/3,G36*1/3,I36*1/3)</f>
        <v>0</v>
      </c>
      <c r="L36" s="11">
        <f>SUM(H36*1/2,J36*1/2)</f>
        <v>0</v>
      </c>
      <c r="M36" s="11">
        <f>SUM(F36*1/5,G36*1/5,H36*1/5,I36*1/5,J36*1/5)</f>
        <v>0</v>
      </c>
    </row>
    <row r="37" spans="1:14" x14ac:dyDescent="0.2">
      <c r="A37" s="1" t="s">
        <v>3</v>
      </c>
      <c r="B37" s="1" t="s">
        <v>6</v>
      </c>
      <c r="C37" s="64"/>
      <c r="D37" s="65"/>
      <c r="E37" s="65"/>
      <c r="K37" s="11">
        <f>SUM(F37*1/3,G37*1/3,I37*1/3)</f>
        <v>0</v>
      </c>
      <c r="L37" s="11">
        <f>SUM(H37*1/2,J37*1/2)</f>
        <v>0</v>
      </c>
      <c r="M37" s="11">
        <f>SUM(F37*1/5,G37*1/5,H37*1/5,I37*1/5,J37*1/5)</f>
        <v>0</v>
      </c>
    </row>
    <row r="38" spans="1:14" x14ac:dyDescent="0.2">
      <c r="A38" s="1" t="s">
        <v>4</v>
      </c>
      <c r="B38" s="1" t="s">
        <v>7</v>
      </c>
      <c r="C38" s="64"/>
      <c r="D38" s="65"/>
      <c r="E38" s="65"/>
      <c r="K38" s="11">
        <f>SUM(F38*1/3,G38*1/3,I38*1/3)</f>
        <v>0</v>
      </c>
      <c r="L38" s="11">
        <f>SUM(H38*1/2,J38*1/2)</f>
        <v>0</v>
      </c>
      <c r="M38" s="11">
        <f>SUM(F38*1/5,G38*1/5,H38*1/5,I38*1/5,J38*1/5)</f>
        <v>0</v>
      </c>
    </row>
    <row r="40" spans="1:14" s="2" customFormat="1" x14ac:dyDescent="0.2">
      <c r="A40" s="73" t="s">
        <v>38</v>
      </c>
      <c r="B40" s="73"/>
      <c r="C40" s="73"/>
      <c r="D40" s="73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K42" s="11">
        <f>SUM(F42*1/3,G42*1/3,I42*1/3)</f>
        <v>0</v>
      </c>
      <c r="L42" s="11">
        <f>SUM(H42*1/2,J42*1/2)</f>
        <v>0</v>
      </c>
      <c r="M42" s="11">
        <f>SUM(F42*1/5,G42*1/5,H42*1/5,I42*1/5,J42*1/5)</f>
        <v>0</v>
      </c>
      <c r="N42" s="71" t="s">
        <v>30</v>
      </c>
    </row>
    <row r="43" spans="1:14" x14ac:dyDescent="0.2">
      <c r="A43" s="1" t="s">
        <v>3</v>
      </c>
      <c r="B43" s="1" t="s">
        <v>6</v>
      </c>
      <c r="C43" s="64"/>
      <c r="D43" s="65"/>
      <c r="E43" s="65"/>
      <c r="K43" s="11">
        <f>SUM(F43*1/3,G43*1/3,I43*1/3)</f>
        <v>0</v>
      </c>
      <c r="L43" s="11">
        <f>SUM(H43*1/2,J43*1/2)</f>
        <v>0</v>
      </c>
      <c r="M43" s="11">
        <f>SUM(F43*1/5,G43*1/5,H43*1/5,I43*1/5,J43*1/5)</f>
        <v>0</v>
      </c>
      <c r="N43" s="71"/>
    </row>
    <row r="44" spans="1:14" x14ac:dyDescent="0.2">
      <c r="A44" s="1" t="s">
        <v>4</v>
      </c>
      <c r="B44" s="1" t="s">
        <v>7</v>
      </c>
      <c r="C44" s="64"/>
      <c r="D44" s="65"/>
      <c r="E44" s="65"/>
      <c r="F44" s="62"/>
      <c r="K44" s="11">
        <f>SUM(F44*1/3,G44*1/3,I44*1/3)</f>
        <v>0</v>
      </c>
      <c r="L44" s="11">
        <f>SUM(H44*1/2,J44*1/2)</f>
        <v>0</v>
      </c>
      <c r="M44" s="11">
        <f>SUM(F44*1/5,G44*1/5,H44*1/5,I44*1/5,J44*1/5)</f>
        <v>0</v>
      </c>
      <c r="N44" s="71"/>
    </row>
    <row r="46" spans="1:14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K46" s="11">
        <f>SUM(F46*1/3,G46*1/3,I46*1/3)</f>
        <v>0</v>
      </c>
      <c r="L46" s="11">
        <f>SUM(H46*1/2,J46*1/2)</f>
        <v>0</v>
      </c>
      <c r="M46" s="11">
        <f>SUM(F46*1/5,G46*1/5,H46*1/5,I46*1/5,J46*1/5)</f>
        <v>0</v>
      </c>
      <c r="N46" s="71" t="s">
        <v>31</v>
      </c>
    </row>
    <row r="47" spans="1:14" x14ac:dyDescent="0.2">
      <c r="A47" s="1" t="s">
        <v>3</v>
      </c>
      <c r="B47" s="1" t="s">
        <v>6</v>
      </c>
      <c r="C47" s="64"/>
      <c r="D47" s="65"/>
      <c r="E47" s="65"/>
      <c r="K47" s="11">
        <f>SUM(F47*1/3,G47*1/3,I47*1/3)</f>
        <v>0</v>
      </c>
      <c r="L47" s="11">
        <f>SUM(H47*1/2,J47*1/2)</f>
        <v>0</v>
      </c>
      <c r="M47" s="11">
        <f>SUM(F47*1/5,G47*1/5,H47*1/5,I47*1/5,J47*1/5)</f>
        <v>0</v>
      </c>
      <c r="N47" s="71"/>
    </row>
    <row r="48" spans="1:14" x14ac:dyDescent="0.2">
      <c r="A48" s="1" t="s">
        <v>4</v>
      </c>
      <c r="B48" s="1" t="s">
        <v>7</v>
      </c>
      <c r="C48" s="64"/>
      <c r="D48" s="65"/>
      <c r="E48" s="65"/>
      <c r="K48" s="11">
        <f>SUM(F48*1/3,G48*1/3,I48*1/3)</f>
        <v>0</v>
      </c>
      <c r="L48" s="11">
        <f>SUM(H48*1/2,J48*1/2)</f>
        <v>0</v>
      </c>
      <c r="M48" s="11">
        <f>SUM(F48*1/5,G48*1/5,H48*1/5,I48*1/5,J48*1/5)</f>
        <v>0</v>
      </c>
      <c r="N48" s="71"/>
    </row>
    <row r="50" spans="1:14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K50" s="11">
        <f>SUM(F50*1/3,G50*1/3,I50*1/3)</f>
        <v>0</v>
      </c>
      <c r="L50" s="11">
        <f>SUM(H50*1/2,J50*1/2)</f>
        <v>0</v>
      </c>
      <c r="M50" s="11">
        <f>SUM(F50*1/5,G50*1/5,H50*1/5,I50*1/5,J50*1/5)</f>
        <v>0</v>
      </c>
    </row>
    <row r="51" spans="1:14" x14ac:dyDescent="0.2">
      <c r="A51" s="1" t="s">
        <v>3</v>
      </c>
      <c r="B51" s="1" t="s">
        <v>6</v>
      </c>
      <c r="C51" s="64"/>
      <c r="D51" s="65"/>
      <c r="E51" s="65"/>
      <c r="K51" s="11">
        <f>SUM(F51*1/3,G51*1/3,I51*1/3)</f>
        <v>0</v>
      </c>
      <c r="L51" s="11">
        <f>SUM(H51*1/2,J51*1/2)</f>
        <v>0</v>
      </c>
      <c r="M51" s="11">
        <f>SUM(F51*1/5,G51*1/5,H51*1/5,I51*1/5,J51*1/5)</f>
        <v>0</v>
      </c>
    </row>
    <row r="52" spans="1:14" x14ac:dyDescent="0.2">
      <c r="A52" s="1" t="s">
        <v>4</v>
      </c>
      <c r="B52" s="1" t="s">
        <v>7</v>
      </c>
      <c r="C52" s="64"/>
      <c r="D52" s="65"/>
      <c r="E52" s="65"/>
      <c r="F52" s="62"/>
      <c r="K52" s="11">
        <f>SUM(F52*1/3,G52*1/3,I52*1/3)</f>
        <v>0</v>
      </c>
      <c r="L52" s="11">
        <f>SUM(H52*1/2,J52*1/2)</f>
        <v>0</v>
      </c>
      <c r="M52" s="11">
        <f>SUM(F52*1/5,G52*1/5,H52*1/5,I52*1/5,J52*1/5)</f>
        <v>0</v>
      </c>
    </row>
    <row r="55" spans="1:14" s="14" customFormat="1" x14ac:dyDescent="0.2">
      <c r="A55" s="72" t="s">
        <v>59</v>
      </c>
      <c r="B55" s="72"/>
      <c r="C55" s="72"/>
      <c r="D55" s="72"/>
      <c r="E55" s="15"/>
      <c r="F55" s="16">
        <f t="shared" ref="F55:M55" si="0">MAX(F2:F52)</f>
        <v>0</v>
      </c>
      <c r="G55" s="16">
        <f t="shared" si="0"/>
        <v>0</v>
      </c>
      <c r="H55" s="16">
        <f t="shared" si="0"/>
        <v>0</v>
      </c>
      <c r="I55" s="16">
        <f t="shared" si="0"/>
        <v>0</v>
      </c>
      <c r="J55" s="16">
        <f t="shared" si="0"/>
        <v>0</v>
      </c>
      <c r="K55" s="16">
        <f t="shared" si="0"/>
        <v>0</v>
      </c>
      <c r="L55" s="16">
        <f t="shared" si="0"/>
        <v>0</v>
      </c>
      <c r="M55" s="16">
        <f t="shared" si="0"/>
        <v>0</v>
      </c>
      <c r="N55" s="17"/>
    </row>
    <row r="56" spans="1:14" s="18" customFormat="1" x14ac:dyDescent="0.2">
      <c r="A56" s="74" t="s">
        <v>60</v>
      </c>
      <c r="B56" s="74"/>
      <c r="C56" s="74"/>
      <c r="D56" s="74"/>
      <c r="E56" s="19"/>
      <c r="F56" s="20" t="e">
        <f t="shared" ref="F56:M56" si="1">AVERAGE(F2:F52)</f>
        <v>#DIV/0!</v>
      </c>
      <c r="G56" s="20" t="e">
        <f t="shared" si="1"/>
        <v>#DIV/0!</v>
      </c>
      <c r="H56" s="20" t="e">
        <f t="shared" si="1"/>
        <v>#DIV/0!</v>
      </c>
      <c r="I56" s="20" t="e">
        <f t="shared" si="1"/>
        <v>#DIV/0!</v>
      </c>
      <c r="J56" s="20" t="e">
        <f t="shared" si="1"/>
        <v>#DIV/0!</v>
      </c>
      <c r="K56" s="20">
        <f t="shared" si="1"/>
        <v>0</v>
      </c>
      <c r="L56" s="20">
        <f t="shared" si="1"/>
        <v>0</v>
      </c>
      <c r="M56" s="20">
        <f t="shared" si="1"/>
        <v>0</v>
      </c>
      <c r="N56" s="21"/>
    </row>
    <row r="58" spans="1:14" s="22" customFormat="1" x14ac:dyDescent="0.2">
      <c r="A58" s="77" t="s">
        <v>67</v>
      </c>
      <c r="B58" s="77"/>
      <c r="C58" s="77"/>
      <c r="D58" s="77"/>
      <c r="E58" s="77"/>
      <c r="F58" s="29">
        <f>SUM(F55*(1/3),  G55*(1/3), I55*(1/3))</f>
        <v>0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8" t="s">
        <v>68</v>
      </c>
      <c r="B59" s="78"/>
      <c r="C59" s="78"/>
      <c r="D59" s="78"/>
      <c r="E59" s="78"/>
      <c r="F59" s="28">
        <f>SUM(H55*(1/2),  J55*(1/2))</f>
        <v>0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9" t="s">
        <v>69</v>
      </c>
      <c r="B60" s="79"/>
      <c r="C60" s="79"/>
      <c r="D60" s="79"/>
      <c r="E60" s="79"/>
      <c r="F60" s="30">
        <f>SUM(F55*1/5, G55*1/5, H55*1/5, I55*1/5,J55*1/5)</f>
        <v>0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5" t="s">
        <v>64</v>
      </c>
      <c r="B62" s="75"/>
      <c r="C62" s="75"/>
      <c r="D62" s="75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5" t="s">
        <v>65</v>
      </c>
      <c r="B63" s="76"/>
      <c r="C63" s="76"/>
      <c r="D63" s="76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5" t="s">
        <v>66</v>
      </c>
      <c r="B64" s="76"/>
      <c r="C64" s="76"/>
      <c r="D64" s="76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35"/>
  <sheetViews>
    <sheetView zoomScaleNormal="100" workbookViewId="0">
      <pane ySplit="1" topLeftCell="A2" activePane="bottomLeft" state="frozen"/>
      <selection pane="bottomLeft" activeCell="G28" sqref="G2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4" t="s">
        <v>74</v>
      </c>
      <c r="B3" s="74"/>
      <c r="C3" s="74"/>
      <c r="D3" s="74"/>
      <c r="E3" s="74"/>
      <c r="F3" s="74"/>
      <c r="G3" s="74"/>
      <c r="H3" s="74"/>
      <c r="I3" s="74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1" t="s">
        <v>70</v>
      </c>
      <c r="D5" s="71" t="s">
        <v>71</v>
      </c>
      <c r="J5" s="11">
        <f>SUM(E5*1/3,F5*1/3,H5*1/3)</f>
        <v>0</v>
      </c>
      <c r="K5" s="11">
        <f>SUM(G5*1/2,I5*1/2)</f>
        <v>0</v>
      </c>
      <c r="L5" s="11">
        <f>SUM(E5*1/5,F5*1/5,G5*1/5,H5*1/5,I5*1/5)</f>
        <v>0</v>
      </c>
    </row>
    <row r="6" spans="1:14" x14ac:dyDescent="0.2">
      <c r="A6" s="1" t="s">
        <v>3</v>
      </c>
      <c r="B6" s="1" t="s">
        <v>6</v>
      </c>
      <c r="C6" s="71"/>
      <c r="D6" s="71"/>
      <c r="J6" s="11">
        <f>SUM(E6*1/3,F6*1/3,H6*1/3)</f>
        <v>0</v>
      </c>
      <c r="K6" s="11">
        <f>SUM(G6*1/2,I6*1/2)</f>
        <v>0</v>
      </c>
      <c r="L6" s="11">
        <f>SUM(E6*1/5,F6*1/5,G6*1/5,H6*1/5,I6*1/5)</f>
        <v>0</v>
      </c>
    </row>
    <row r="7" spans="1:14" x14ac:dyDescent="0.2">
      <c r="A7" s="1" t="s">
        <v>4</v>
      </c>
      <c r="B7" s="1" t="s">
        <v>7</v>
      </c>
      <c r="C7" s="71"/>
      <c r="D7" s="71"/>
      <c r="J7" s="11">
        <f>SUM(E7*1/3,F7*1/3,H7*1/3)</f>
        <v>0</v>
      </c>
      <c r="K7" s="11">
        <f>SUM(G7*1/2,I7*1/2)</f>
        <v>0</v>
      </c>
      <c r="L7" s="11">
        <f>SUM(E7*1/5,F7*1/5,G7*1/5,H7*1/5,I7*1/5)</f>
        <v>0</v>
      </c>
    </row>
    <row r="9" spans="1:14" x14ac:dyDescent="0.2">
      <c r="A9" s="1" t="s">
        <v>2</v>
      </c>
      <c r="B9" s="1" t="s">
        <v>5</v>
      </c>
      <c r="C9" s="71" t="s">
        <v>72</v>
      </c>
      <c r="D9" s="71" t="s">
        <v>73</v>
      </c>
      <c r="J9" s="11">
        <f>SUM(E9*1/3,F9*1/3,H9*1/3)</f>
        <v>0</v>
      </c>
      <c r="K9" s="11">
        <f>SUM(G9*1/2,I9*1/2)</f>
        <v>0</v>
      </c>
      <c r="L9" s="11">
        <f>SUM(E9*1/5,F9*1/5,G9*1/5,H9*1/5,I9*1/5)</f>
        <v>0</v>
      </c>
    </row>
    <row r="10" spans="1:14" x14ac:dyDescent="0.2">
      <c r="A10" s="1" t="s">
        <v>3</v>
      </c>
      <c r="B10" s="1" t="s">
        <v>6</v>
      </c>
      <c r="C10" s="71"/>
      <c r="D10" s="71"/>
      <c r="J10" s="11">
        <f>SUM(E10*1/3,F10*1/3,H10*1/3)</f>
        <v>0</v>
      </c>
      <c r="K10" s="11">
        <f>SUM(G10*1/2,I10*1/2)</f>
        <v>0</v>
      </c>
      <c r="L10" s="11">
        <f>SUM(E10*1/5,F10*1/5,G10*1/5,H10*1/5,I10*1/5)</f>
        <v>0</v>
      </c>
    </row>
    <row r="11" spans="1:14" x14ac:dyDescent="0.2">
      <c r="A11" s="1" t="s">
        <v>4</v>
      </c>
      <c r="B11" s="1" t="s">
        <v>7</v>
      </c>
      <c r="C11" s="71"/>
      <c r="D11" s="71"/>
      <c r="J11" s="11">
        <f>SUM(E11*1/3,F11*1/3,H11*1/3)</f>
        <v>0</v>
      </c>
      <c r="K11" s="11">
        <f>SUM(G11*1/2,I11*1/2)</f>
        <v>0</v>
      </c>
      <c r="L11" s="11">
        <f>SUM(E11*1/5,F11*1/5,G11*1/5,H11*1/5,I11*1/5)</f>
        <v>0</v>
      </c>
    </row>
    <row r="13" spans="1:14" x14ac:dyDescent="0.2">
      <c r="A13" s="1" t="s">
        <v>2</v>
      </c>
      <c r="B13" s="1" t="s">
        <v>5</v>
      </c>
      <c r="C13" s="71" t="s">
        <v>77</v>
      </c>
      <c r="D13" s="71" t="s">
        <v>84</v>
      </c>
      <c r="J13" s="11">
        <f>SUM(E13*1/3,F13*1/3,H13*1/3)</f>
        <v>0</v>
      </c>
      <c r="K13" s="11">
        <f>SUM(G13*1/2,I13*1/2)</f>
        <v>0</v>
      </c>
      <c r="L13" s="11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71"/>
      <c r="D14" s="71"/>
      <c r="J14" s="11">
        <f>SUM(E14*1/3,F14*1/3,H14*1/3)</f>
        <v>0</v>
      </c>
      <c r="K14" s="11">
        <f>SUM(G14*1/2,I14*1/2)</f>
        <v>0</v>
      </c>
      <c r="L14" s="11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71"/>
      <c r="D15" s="71"/>
      <c r="J15" s="11">
        <f>SUM(E15*1/3,F15*1/3,H15*1/3)</f>
        <v>0</v>
      </c>
      <c r="K15" s="11">
        <f>SUM(G15*1/2,I15*1/2)</f>
        <v>0</v>
      </c>
      <c r="L15" s="11">
        <f>SUM(E15*1/5,F15*1/5,G15*1/5,H15*1/5,I15*1/5)</f>
        <v>0</v>
      </c>
    </row>
    <row r="17" spans="1:12" x14ac:dyDescent="0.2">
      <c r="A17" s="1" t="s">
        <v>2</v>
      </c>
      <c r="B17" s="1" t="s">
        <v>5</v>
      </c>
      <c r="C17" s="71" t="s">
        <v>83</v>
      </c>
      <c r="D17" s="71" t="s">
        <v>82</v>
      </c>
      <c r="J17" s="11">
        <f>SUM(E17*1/3,F17*1/3,H17*1/3)</f>
        <v>0</v>
      </c>
      <c r="K17" s="11">
        <f>SUM(G17*1/2,I17*1/2)</f>
        <v>0</v>
      </c>
      <c r="L17" s="11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71"/>
      <c r="D18" s="71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71"/>
      <c r="D19" s="71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1" t="s">
        <v>75</v>
      </c>
      <c r="D21" s="71" t="s">
        <v>76</v>
      </c>
      <c r="J21" s="11">
        <f>SUM(E21*1/3,F21*1/3,H21*1/3)</f>
        <v>0</v>
      </c>
      <c r="K21" s="11">
        <f>SUM(G21*1/2,I21*1/2)</f>
        <v>0</v>
      </c>
      <c r="L21" s="11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71"/>
      <c r="D22" s="71"/>
      <c r="J22" s="11">
        <f>SUM(E22*1/3,F22*1/3,H22*1/3)</f>
        <v>0</v>
      </c>
      <c r="K22" s="11">
        <f>SUM(G22*1/2,I22*1/2)</f>
        <v>0</v>
      </c>
      <c r="L22" s="11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71"/>
      <c r="D23" s="71"/>
      <c r="J23" s="11">
        <f>SUM(E23*1/3,F23*1/3,H23*1/3)</f>
        <v>0</v>
      </c>
      <c r="K23" s="11">
        <f>SUM(G23*1/2,I23*1/2)</f>
        <v>0</v>
      </c>
      <c r="L23" s="11">
        <f>SUM(E23*1/5,F23*1/5,G23*1/5,H23*1/5,I23*1/5)</f>
        <v>0</v>
      </c>
    </row>
    <row r="25" spans="1:12" x14ac:dyDescent="0.2">
      <c r="A25" s="1" t="s">
        <v>2</v>
      </c>
      <c r="B25" s="1" t="s">
        <v>5</v>
      </c>
      <c r="C25" s="71" t="s">
        <v>80</v>
      </c>
      <c r="D25" s="71" t="s">
        <v>78</v>
      </c>
      <c r="J25" s="11">
        <f>SUM(E25*1/3,F25*1/3,H25*1/3)</f>
        <v>0</v>
      </c>
      <c r="K25" s="11">
        <f>SUM(G25*1/2,I25*1/2)</f>
        <v>0</v>
      </c>
      <c r="L25" s="11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71"/>
      <c r="D26" s="71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71"/>
      <c r="D27" s="71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71" t="s">
        <v>81</v>
      </c>
      <c r="D29" s="71" t="s">
        <v>79</v>
      </c>
      <c r="J29" s="11">
        <f>SUM(E29*1/3,F29*1/3,H29*1/3)</f>
        <v>0</v>
      </c>
      <c r="K29" s="11">
        <f>SUM(G29*1/2,I29*1/2)</f>
        <v>0</v>
      </c>
      <c r="L29" s="11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71"/>
      <c r="D30" s="71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71"/>
      <c r="D31" s="71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4" spans="1:14" s="14" customFormat="1" x14ac:dyDescent="0.2">
      <c r="A34" s="72" t="s">
        <v>59</v>
      </c>
      <c r="B34" s="72"/>
      <c r="C34" s="72"/>
      <c r="D34" s="72"/>
      <c r="E34" s="16">
        <f t="shared" ref="E34:L34" si="0">MAX(E4:E32)</f>
        <v>0</v>
      </c>
      <c r="F34" s="16">
        <f t="shared" si="0"/>
        <v>0</v>
      </c>
      <c r="G34" s="16">
        <f t="shared" si="0"/>
        <v>0</v>
      </c>
      <c r="H34" s="16">
        <f t="shared" si="0"/>
        <v>0</v>
      </c>
      <c r="I34" s="16">
        <f t="shared" si="0"/>
        <v>0</v>
      </c>
      <c r="J34" s="16">
        <f t="shared" si="0"/>
        <v>0</v>
      </c>
      <c r="K34" s="16">
        <f t="shared" si="0"/>
        <v>0</v>
      </c>
      <c r="L34" s="16">
        <f t="shared" si="0"/>
        <v>0</v>
      </c>
      <c r="M34" s="16"/>
      <c r="N34" s="17"/>
    </row>
    <row r="35" spans="1:14" s="52" customFormat="1" x14ac:dyDescent="0.2">
      <c r="A35" s="77" t="s">
        <v>60</v>
      </c>
      <c r="B35" s="77"/>
      <c r="C35" s="77"/>
      <c r="D35" s="77"/>
      <c r="E35" s="29" t="e">
        <f t="shared" ref="E35:L35" si="1">AVERAGE(E5:E32)</f>
        <v>#DIV/0!</v>
      </c>
      <c r="F35" s="29" t="e">
        <f t="shared" si="1"/>
        <v>#DIV/0!</v>
      </c>
      <c r="G35" s="29" t="e">
        <f t="shared" si="1"/>
        <v>#DIV/0!</v>
      </c>
      <c r="H35" s="29" t="e">
        <f t="shared" si="1"/>
        <v>#DIV/0!</v>
      </c>
      <c r="I35" s="29" t="e">
        <f t="shared" si="1"/>
        <v>#DIV/0!</v>
      </c>
      <c r="J35" s="29">
        <f t="shared" si="1"/>
        <v>0</v>
      </c>
      <c r="K35" s="29">
        <f t="shared" si="1"/>
        <v>0</v>
      </c>
      <c r="L35" s="29">
        <f t="shared" si="1"/>
        <v>0</v>
      </c>
      <c r="M35" s="29"/>
      <c r="N35" s="58"/>
    </row>
  </sheetData>
  <mergeCells count="17">
    <mergeCell ref="A34:D34"/>
    <mergeCell ref="A35:D35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2024-01-03T12:41:29Z</dcterms:modified>
</cp:coreProperties>
</file>