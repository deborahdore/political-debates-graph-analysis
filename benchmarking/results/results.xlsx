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eborahdore/Documents/political-debates-graph-analysis/benchmarking/results/"/>
    </mc:Choice>
  </mc:AlternateContent>
  <xr:revisionPtr revIDLastSave="0" documentId="13_ncr:1_{DF06695A-C85F-3840-8689-7B3F4DA0C746}" xr6:coauthVersionLast="47" xr6:coauthVersionMax="47" xr10:uidLastSave="{00000000-0000-0000-0000-000000000000}"/>
  <bookViews>
    <workbookView xWindow="0" yWindow="0" windowWidth="51200" windowHeight="28800" activeTab="5" xr2:uid="{E2EDC037-19C4-FE46-A599-BB595128A04F}"/>
  </bookViews>
  <sheets>
    <sheet name="Basic" sheetId="1" r:id="rId1"/>
    <sheet name="Special" sheetId="5" r:id="rId2"/>
    <sheet name="Pretrained-Special" sheetId="6" r:id="rId3"/>
    <sheet name="Improving Results" sheetId="7" r:id="rId4"/>
    <sheet name="Checking Bias" sheetId="8" r:id="rId5"/>
    <sheet name="Other Model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0" l="1"/>
  <c r="K12" i="10"/>
  <c r="K10" i="10"/>
  <c r="K9" i="10"/>
  <c r="K8" i="10"/>
  <c r="K6" i="10"/>
  <c r="K5" i="10"/>
  <c r="K4" i="10"/>
  <c r="J14" i="8"/>
  <c r="J5" i="8"/>
  <c r="J6" i="8"/>
  <c r="J8" i="8"/>
  <c r="J9" i="8"/>
  <c r="J10" i="8"/>
  <c r="J12" i="8"/>
  <c r="J13" i="8"/>
  <c r="J4" i="8"/>
  <c r="I104" i="7"/>
  <c r="H104" i="7"/>
  <c r="G104" i="7"/>
  <c r="F104" i="7"/>
  <c r="E104" i="7"/>
  <c r="I103" i="7"/>
  <c r="H103" i="7"/>
  <c r="G103" i="7"/>
  <c r="F103" i="7"/>
  <c r="E103" i="7"/>
  <c r="L100" i="7"/>
  <c r="K100" i="7"/>
  <c r="J100" i="7"/>
  <c r="L99" i="7"/>
  <c r="K99" i="7"/>
  <c r="J99" i="7"/>
  <c r="L98" i="7"/>
  <c r="K98" i="7"/>
  <c r="J98" i="7"/>
  <c r="L96" i="7"/>
  <c r="K96" i="7"/>
  <c r="J96" i="7"/>
  <c r="L95" i="7"/>
  <c r="K95" i="7"/>
  <c r="J95" i="7"/>
  <c r="L94" i="7"/>
  <c r="K94" i="7"/>
  <c r="J94" i="7"/>
  <c r="L92" i="7"/>
  <c r="K92" i="7"/>
  <c r="J92" i="7"/>
  <c r="L91" i="7"/>
  <c r="K91" i="7"/>
  <c r="J91" i="7"/>
  <c r="L90" i="7"/>
  <c r="K90" i="7"/>
  <c r="J90" i="7"/>
  <c r="L88" i="7"/>
  <c r="K88" i="7"/>
  <c r="J88" i="7"/>
  <c r="L87" i="7"/>
  <c r="K87" i="7"/>
  <c r="J87" i="7"/>
  <c r="L86" i="7"/>
  <c r="K86" i="7"/>
  <c r="J86" i="7"/>
  <c r="L84" i="7"/>
  <c r="K84" i="7"/>
  <c r="J84" i="7"/>
  <c r="L83" i="7"/>
  <c r="K83" i="7"/>
  <c r="J83" i="7"/>
  <c r="L82" i="7"/>
  <c r="K82" i="7"/>
  <c r="J82" i="7"/>
  <c r="L80" i="7"/>
  <c r="K80" i="7"/>
  <c r="J80" i="7"/>
  <c r="L79" i="7"/>
  <c r="K79" i="7"/>
  <c r="J79" i="7"/>
  <c r="L78" i="7"/>
  <c r="K78" i="7"/>
  <c r="J78" i="7"/>
  <c r="L76" i="7"/>
  <c r="K76" i="7"/>
  <c r="J76" i="7"/>
  <c r="L75" i="7"/>
  <c r="K75" i="7"/>
  <c r="J75" i="7"/>
  <c r="L74" i="7"/>
  <c r="K74" i="7"/>
  <c r="J74" i="7"/>
  <c r="I70" i="7"/>
  <c r="H70" i="7"/>
  <c r="G70" i="7"/>
  <c r="F70" i="7"/>
  <c r="E70" i="7"/>
  <c r="I69" i="7"/>
  <c r="H69" i="7"/>
  <c r="G69" i="7"/>
  <c r="F69" i="7"/>
  <c r="E69" i="7"/>
  <c r="L66" i="7"/>
  <c r="K66" i="7"/>
  <c r="J66" i="7"/>
  <c r="L65" i="7"/>
  <c r="K65" i="7"/>
  <c r="J65" i="7"/>
  <c r="L64" i="7"/>
  <c r="K64" i="7"/>
  <c r="J64" i="7"/>
  <c r="L62" i="7"/>
  <c r="K62" i="7"/>
  <c r="J62" i="7"/>
  <c r="L61" i="7"/>
  <c r="K61" i="7"/>
  <c r="J61" i="7"/>
  <c r="L60" i="7"/>
  <c r="K60" i="7"/>
  <c r="J60" i="7"/>
  <c r="L58" i="7"/>
  <c r="K58" i="7"/>
  <c r="J58" i="7"/>
  <c r="L57" i="7"/>
  <c r="K57" i="7"/>
  <c r="J57" i="7"/>
  <c r="L56" i="7"/>
  <c r="K56" i="7"/>
  <c r="J56" i="7"/>
  <c r="L54" i="7"/>
  <c r="K54" i="7"/>
  <c r="J54" i="7"/>
  <c r="L53" i="7"/>
  <c r="K53" i="7"/>
  <c r="J53" i="7"/>
  <c r="L52" i="7"/>
  <c r="K52" i="7"/>
  <c r="J52" i="7"/>
  <c r="L50" i="7"/>
  <c r="K50" i="7"/>
  <c r="J50" i="7"/>
  <c r="L49" i="7"/>
  <c r="K49" i="7"/>
  <c r="J49" i="7"/>
  <c r="L48" i="7"/>
  <c r="K48" i="7"/>
  <c r="J48" i="7"/>
  <c r="L46" i="7"/>
  <c r="K46" i="7"/>
  <c r="J46" i="7"/>
  <c r="L45" i="7"/>
  <c r="K45" i="7"/>
  <c r="J45" i="7"/>
  <c r="L44" i="7"/>
  <c r="K44" i="7"/>
  <c r="J44" i="7"/>
  <c r="L42" i="7"/>
  <c r="K42" i="7"/>
  <c r="J42" i="7"/>
  <c r="L41" i="7"/>
  <c r="K41" i="7"/>
  <c r="J41" i="7"/>
  <c r="L40" i="7"/>
  <c r="K40" i="7"/>
  <c r="J40" i="7"/>
  <c r="E35" i="7"/>
  <c r="K18" i="7"/>
  <c r="I36" i="7"/>
  <c r="H36" i="7"/>
  <c r="G36" i="7"/>
  <c r="F36" i="7"/>
  <c r="E36" i="7"/>
  <c r="I35" i="7"/>
  <c r="H35" i="7"/>
  <c r="G35" i="7"/>
  <c r="F35" i="7"/>
  <c r="L16" i="7"/>
  <c r="K16" i="7"/>
  <c r="J16" i="7"/>
  <c r="L15" i="7"/>
  <c r="K15" i="7"/>
  <c r="J15" i="7"/>
  <c r="L14" i="7"/>
  <c r="K14" i="7"/>
  <c r="J14" i="7"/>
  <c r="L32" i="7"/>
  <c r="K32" i="7"/>
  <c r="J32" i="7"/>
  <c r="L31" i="7"/>
  <c r="K31" i="7"/>
  <c r="J31" i="7"/>
  <c r="L30" i="7"/>
  <c r="K30" i="7"/>
  <c r="J30" i="7"/>
  <c r="L18" i="7"/>
  <c r="J18" i="7"/>
  <c r="L19" i="7"/>
  <c r="K19" i="7"/>
  <c r="J19" i="7"/>
  <c r="L20" i="7"/>
  <c r="K20" i="7"/>
  <c r="J20" i="7"/>
  <c r="L28" i="7"/>
  <c r="K28" i="7"/>
  <c r="J28" i="7"/>
  <c r="L27" i="7"/>
  <c r="K27" i="7"/>
  <c r="J27" i="7"/>
  <c r="L26" i="7"/>
  <c r="K26" i="7"/>
  <c r="J26" i="7"/>
  <c r="L24" i="7"/>
  <c r="K24" i="7"/>
  <c r="J24" i="7"/>
  <c r="L23" i="7"/>
  <c r="K23" i="7"/>
  <c r="J23" i="7"/>
  <c r="L22" i="7"/>
  <c r="K22" i="7"/>
  <c r="J22" i="7"/>
  <c r="L12" i="7"/>
  <c r="K12" i="7"/>
  <c r="J12" i="7"/>
  <c r="L11" i="7"/>
  <c r="K11" i="7"/>
  <c r="J11" i="7"/>
  <c r="L10" i="7"/>
  <c r="K10" i="7"/>
  <c r="J10" i="7"/>
  <c r="L8" i="7"/>
  <c r="K8" i="7"/>
  <c r="J8" i="7"/>
  <c r="L7" i="7"/>
  <c r="K7" i="7"/>
  <c r="J7" i="7"/>
  <c r="L6" i="7"/>
  <c r="K6" i="7"/>
  <c r="J6" i="7"/>
  <c r="J57" i="1"/>
  <c r="I57" i="1"/>
  <c r="H57" i="1"/>
  <c r="G57" i="1"/>
  <c r="F57" i="1"/>
  <c r="J56" i="1"/>
  <c r="I56" i="1"/>
  <c r="H56" i="1"/>
  <c r="G56" i="1"/>
  <c r="F56" i="1"/>
  <c r="J57" i="5"/>
  <c r="I57" i="5"/>
  <c r="H57" i="5"/>
  <c r="G57" i="5"/>
  <c r="F57" i="5"/>
  <c r="J56" i="5"/>
  <c r="I56" i="5"/>
  <c r="H56" i="5"/>
  <c r="G56" i="5"/>
  <c r="F56" i="5"/>
  <c r="M53" i="6"/>
  <c r="L53" i="6"/>
  <c r="K53" i="6"/>
  <c r="M52" i="6"/>
  <c r="L52" i="6"/>
  <c r="K52" i="6"/>
  <c r="M51" i="6"/>
  <c r="L51" i="6"/>
  <c r="K51" i="6"/>
  <c r="M49" i="6"/>
  <c r="L49" i="6"/>
  <c r="K49" i="6"/>
  <c r="M48" i="6"/>
  <c r="L48" i="6"/>
  <c r="K48" i="6"/>
  <c r="M47" i="6"/>
  <c r="L47" i="6"/>
  <c r="K47" i="6"/>
  <c r="M45" i="6"/>
  <c r="L45" i="6"/>
  <c r="K45" i="6"/>
  <c r="M44" i="6"/>
  <c r="L44" i="6"/>
  <c r="K44" i="6"/>
  <c r="M43" i="6"/>
  <c r="L43" i="6"/>
  <c r="K43" i="6"/>
  <c r="M39" i="6"/>
  <c r="L39" i="6"/>
  <c r="K39" i="6"/>
  <c r="M38" i="6"/>
  <c r="L38" i="6"/>
  <c r="K38" i="6"/>
  <c r="M37" i="6"/>
  <c r="L37" i="6"/>
  <c r="K37" i="6"/>
  <c r="M35" i="6"/>
  <c r="L35" i="6"/>
  <c r="K35" i="6"/>
  <c r="M34" i="6"/>
  <c r="L34" i="6"/>
  <c r="K34" i="6"/>
  <c r="M33" i="6"/>
  <c r="L33" i="6"/>
  <c r="K33" i="6"/>
  <c r="M31" i="6"/>
  <c r="L31" i="6"/>
  <c r="K31" i="6"/>
  <c r="M30" i="6"/>
  <c r="L30" i="6"/>
  <c r="K30" i="6"/>
  <c r="M29" i="6"/>
  <c r="L29" i="6"/>
  <c r="K29" i="6"/>
  <c r="M27" i="6"/>
  <c r="L27" i="6"/>
  <c r="K27" i="6"/>
  <c r="M26" i="6"/>
  <c r="L26" i="6"/>
  <c r="K26" i="6"/>
  <c r="M25" i="6"/>
  <c r="L25" i="6"/>
  <c r="K25" i="6"/>
  <c r="M23" i="6"/>
  <c r="L23" i="6"/>
  <c r="K23" i="6"/>
  <c r="M22" i="6"/>
  <c r="L22" i="6"/>
  <c r="K22" i="6"/>
  <c r="M21" i="6"/>
  <c r="L21" i="6"/>
  <c r="K21" i="6"/>
  <c r="M19" i="6"/>
  <c r="L19" i="6"/>
  <c r="K19" i="6"/>
  <c r="M18" i="6"/>
  <c r="L18" i="6"/>
  <c r="K18" i="6"/>
  <c r="M17" i="6"/>
  <c r="L17" i="6"/>
  <c r="K17" i="6"/>
  <c r="M15" i="6"/>
  <c r="L15" i="6"/>
  <c r="K15" i="6"/>
  <c r="M14" i="6"/>
  <c r="L14" i="6"/>
  <c r="K14" i="6"/>
  <c r="M13" i="6"/>
  <c r="L13" i="6"/>
  <c r="K13" i="6"/>
  <c r="M9" i="6"/>
  <c r="L9" i="6"/>
  <c r="K9" i="6"/>
  <c r="M8" i="6"/>
  <c r="L8" i="6"/>
  <c r="K8" i="6"/>
  <c r="M7" i="6"/>
  <c r="L7" i="6"/>
  <c r="K7" i="6"/>
  <c r="M5" i="6"/>
  <c r="L5" i="6"/>
  <c r="K5" i="6"/>
  <c r="M4" i="6"/>
  <c r="L4" i="6"/>
  <c r="K4" i="6"/>
  <c r="M3" i="6"/>
  <c r="L3" i="6"/>
  <c r="K3" i="6"/>
  <c r="J57" i="6"/>
  <c r="I57" i="6"/>
  <c r="H57" i="6"/>
  <c r="G57" i="6"/>
  <c r="F57" i="6"/>
  <c r="J56" i="6"/>
  <c r="I56" i="6"/>
  <c r="H56" i="6"/>
  <c r="G56" i="6"/>
  <c r="F56" i="6"/>
  <c r="J69" i="7" l="1"/>
  <c r="J104" i="7"/>
  <c r="J103" i="7"/>
  <c r="K104" i="7"/>
  <c r="K103" i="7"/>
  <c r="L104" i="7"/>
  <c r="L103" i="7"/>
  <c r="K70" i="7"/>
  <c r="L70" i="7"/>
  <c r="J70" i="7"/>
  <c r="K69" i="7"/>
  <c r="L69" i="7"/>
  <c r="K57" i="6"/>
  <c r="M56" i="6"/>
  <c r="L57" i="6"/>
  <c r="M57" i="6"/>
  <c r="L56" i="6"/>
  <c r="J35" i="7"/>
  <c r="J36" i="7"/>
  <c r="K36" i="7"/>
  <c r="L36" i="7"/>
  <c r="K35" i="7"/>
  <c r="L35" i="7"/>
  <c r="K56" i="6"/>
  <c r="F60" i="6"/>
  <c r="F59" i="6"/>
  <c r="F61" i="6"/>
</calcChain>
</file>

<file path=xl/sharedStrings.xml><?xml version="1.0" encoding="utf-8"?>
<sst xmlns="http://schemas.openxmlformats.org/spreadsheetml/2006/main" count="652" uniqueCount="131">
  <si>
    <t>MODEL'S TYPE</t>
  </si>
  <si>
    <t>MODEL</t>
  </si>
  <si>
    <t>Transactional</t>
  </si>
  <si>
    <t>Semantic Matching</t>
  </si>
  <si>
    <t>Other</t>
  </si>
  <si>
    <t>TransE</t>
  </si>
  <si>
    <t>DistMul</t>
  </si>
  <si>
    <t xml:space="preserve"> ConvE</t>
  </si>
  <si>
    <t xml:space="preserve">only text </t>
  </si>
  <si>
    <t>NODE COMPOSITION</t>
  </si>
  <si>
    <t>"text - claim/premise"</t>
  </si>
  <si>
    <t>"text", "claim", "premise"</t>
  </si>
  <si>
    <t>RELATION VALUES</t>
  </si>
  <si>
    <t>support, attack, equivalent</t>
  </si>
  <si>
    <t>TRIPLE EXAMPLE</t>
  </si>
  <si>
    <t>"make america great again", "equivalent", "make america great again"</t>
  </si>
  <si>
    <t>"make america great again - claim", "equivalent" "make america great again - premise"</t>
  </si>
  <si>
    <t>support, attack, equivalent, is a</t>
  </si>
  <si>
    <t>"make america great again", "is a", "claim"</t>
  </si>
  <si>
    <t>"text", "speaker", "role"</t>
  </si>
  <si>
    <t>"text", "year"</t>
  </si>
  <si>
    <t>"text", "claim", "premise", "speaker", "role"</t>
  </si>
  <si>
    <t>"text", "claim", "premise", "year"</t>
  </si>
  <si>
    <t>"text", "speaker", "role", "year"</t>
  </si>
  <si>
    <t>"text", "claim", "premise", "speaker", "role", "year"</t>
  </si>
  <si>
    <t>"text - claim/premise", "speaker"</t>
  </si>
  <si>
    <t>"text + claim/premise", "year"</t>
  </si>
  <si>
    <t>support, attack, equivalent, said by, role</t>
  </si>
  <si>
    <t>support, attack, equivalent, said in</t>
  </si>
  <si>
    <t>support, attack, equivalent, said by, role, said in</t>
  </si>
  <si>
    <t>"make america great again - claim", "said by", "trump"/ "trump", "role", "president"</t>
  </si>
  <si>
    <t>"make america great again - claim", "said in", 2016</t>
  </si>
  <si>
    <t>support, attack, equivalent, is a, said by, role</t>
  </si>
  <si>
    <t>support, attack, equivalent, is a, said in</t>
  </si>
  <si>
    <t>support, attack, equivalent, is a, said by, role, said in</t>
  </si>
  <si>
    <t>"make america great again", "said in", 2016</t>
  </si>
  <si>
    <t>"make america great again", "said by", "trump"/ "trump", "role", "president"</t>
  </si>
  <si>
    <t>ADDED NODES TO GRAPH WITH ONLY TEXT AS FEATURE NODE</t>
  </si>
  <si>
    <t>ADDED NODES TO GRAPH WITH  TEXT AND NODE TYPE AS FEATURE NODE</t>
  </si>
  <si>
    <t>"text + claim/premise", "speaker", "year"</t>
  </si>
  <si>
    <t>NAME EXPERIMENT ON SERVER</t>
  </si>
  <si>
    <t>text</t>
  </si>
  <si>
    <t>text+claim</t>
  </si>
  <si>
    <t>text_claim</t>
  </si>
  <si>
    <t>text_speaker</t>
  </si>
  <si>
    <t>text_year</t>
  </si>
  <si>
    <t>text_claim_speaker</t>
  </si>
  <si>
    <t>text_claim_year</t>
  </si>
  <si>
    <t>text_speaker_year</t>
  </si>
  <si>
    <t>text_claim_speaker_year</t>
  </si>
  <si>
    <t>text+claim_speaker</t>
  </si>
  <si>
    <t>text+claim_year</t>
  </si>
  <si>
    <t>text+claim_speaker_year</t>
  </si>
  <si>
    <t>LINK PREDICTION HITS@10</t>
  </si>
  <si>
    <t>LINK DELETION HITS@10</t>
  </si>
  <si>
    <t>RELATION PREDICTION HITS@1</t>
  </si>
  <si>
    <t>TRIPLE CLASSIFICATION F1-MACRO</t>
  </si>
  <si>
    <t>RELATION CLASSIFICATION F1-MACRO</t>
  </si>
  <si>
    <t>EXPLAINATION EXPERIMENT</t>
  </si>
  <si>
    <t>MAX:</t>
  </si>
  <si>
    <t>MEAN:</t>
  </si>
  <si>
    <t>WEIGHTED SUM OF LP, LP AND TC</t>
  </si>
  <si>
    <t>WEIGHTED SUM OF RP, RC</t>
  </si>
  <si>
    <t>WEIGHTED SUM OF ALL</t>
  </si>
  <si>
    <t>1) WEIGHTED MEAN OF MAX LP, LD, TC:</t>
  </si>
  <si>
    <t>2) WEIGHTED MEAN OF MAX RP, RC:</t>
  </si>
  <si>
    <t>3 ) WEIGHTED MEAN OF MAX OF ALL:</t>
  </si>
  <si>
    <t>special/text_speaker_year</t>
  </si>
  <si>
    <t xml:space="preserve">basic experiment without pretrained embeddings, without any special addition </t>
  </si>
  <si>
    <t>pretrained/text_speaker_year</t>
  </si>
  <si>
    <t>experiment with pretrained embeddings</t>
  </si>
  <si>
    <r>
      <t xml:space="preserve">BEST EXPERIMENT WITH LINK PREDICTION, LINK DELETION AND TRIPLE CLASSIFICATION with </t>
    </r>
    <r>
      <rPr>
        <b/>
        <i/>
        <sz val="16"/>
        <color theme="1"/>
        <rFont val="Calibri"/>
        <family val="2"/>
        <scheme val="minor"/>
      </rPr>
      <t>text_speaker_year</t>
    </r>
  </si>
  <si>
    <t>trial1/bernoulli</t>
  </si>
  <si>
    <t>experiment with pretrained embeddings and bernoulli sampler</t>
  </si>
  <si>
    <t>trial1/downsampling</t>
  </si>
  <si>
    <t>experiment with pretrained embeddings, basic sampler and downsampling the major class</t>
  </si>
  <si>
    <t>experiment with pretrained embeddings, bernoulli sampler and downsampling the major class</t>
  </si>
  <si>
    <t>trial1/downsampling_basic</t>
  </si>
  <si>
    <t>trial1/downsampling_bernoulli</t>
  </si>
  <si>
    <t>experiment with pretrained embeddings and basic sampler with different corruption scheme</t>
  </si>
  <si>
    <t>trial1/basic_sampler</t>
  </si>
  <si>
    <t>experiment with basic sampler and downsampling the major class</t>
  </si>
  <si>
    <t>RELATION CLASSIFICATION  F1-MACRO</t>
  </si>
  <si>
    <t>BEST RESULT OF 1) text_speaker_year</t>
  </si>
  <si>
    <t>BEST RESULT OF 2) text_claim_year</t>
  </si>
  <si>
    <t>BEST RESULT OF 3) text+claim_speaker_year</t>
  </si>
  <si>
    <r>
      <t xml:space="preserve">BEST EXPERIMENT WITH RELATION PREDICTION AND RELATION CLASSIFICATION with </t>
    </r>
    <r>
      <rPr>
        <b/>
        <i/>
        <sz val="16"/>
        <color theme="1"/>
        <rFont val="Calibri"/>
        <family val="2"/>
        <scheme val="minor"/>
      </rPr>
      <t>text_claim_year</t>
    </r>
  </si>
  <si>
    <t>special/text_claim_year</t>
  </si>
  <si>
    <t>pretrained/text_claim_year</t>
  </si>
  <si>
    <t>trial2/downsampling</t>
  </si>
  <si>
    <t>trial2/basic_sampler</t>
  </si>
  <si>
    <t>trial2/bernoulli</t>
  </si>
  <si>
    <t>trial2/downsampling_basic</t>
  </si>
  <si>
    <t>trial2/downsampling_bernoulli</t>
  </si>
  <si>
    <t>BEST EXPERIMENT WITH ALL with  text+claim_speaker_year</t>
  </si>
  <si>
    <t>special/ text+claim_speaker_year</t>
  </si>
  <si>
    <t>pretrained/ text+claim_speaker_year</t>
  </si>
  <si>
    <t>trial3/downsampling</t>
  </si>
  <si>
    <t>trial3/basic_sampler</t>
  </si>
  <si>
    <t>trial3/bernoulli</t>
  </si>
  <si>
    <t>trial3/downsampling_basic</t>
  </si>
  <si>
    <t>trial3/downsampling_bernoulli</t>
  </si>
  <si>
    <t>NODES TYPES IN EXPERIMENT</t>
  </si>
  <si>
    <t>SUPPORT PREDICTION HITS@1</t>
  </si>
  <si>
    <t>ATTACK PREDICTION HITS@1</t>
  </si>
  <si>
    <t>EQUIVALENT PREDICTION HITS@1</t>
  </si>
  <si>
    <t>NODES DISTRIBUTION</t>
  </si>
  <si>
    <t>basic_sampler/text_speaker_year</t>
  </si>
  <si>
    <t>RELATION PREDICTION HITS@2</t>
  </si>
  <si>
    <t>said by: 36.13%, said in: 34.10%, support: 24.62%, attack: 4.35%,  equivalent:0.76%, role:0.03%</t>
  </si>
  <si>
    <t>basic_sampler/text_claim_year</t>
  </si>
  <si>
    <t>is a: 39.80%, said in: 32.16%, support: 23.22%, attack: 4.10%, equivalent: 0.72%</t>
  </si>
  <si>
    <t>basic_sampler/text+claim_speaker_year</t>
  </si>
  <si>
    <t>said in: 37.03%, said by: 37.02%, support: 21.46%, attack: 3.79%, equivalent: 0.67%, role: 0.03%</t>
  </si>
  <si>
    <t>WEIGHTED RELATION PREDICTION HITS@1</t>
  </si>
  <si>
    <t>BASIC TRAINING ON ALL THE TYPES OF NODES IN THE GRAPH</t>
  </si>
  <si>
    <t>TRAINING ON ALL RELATIONS BUT EVALUATING ONLY ON RELATION SUPPORT V ATTACK V EQUIVALENT</t>
  </si>
  <si>
    <t>TRAINING ON ALL RELATIONS BUT EVALUATING ONLY ON RELATION SUPPORT V ATTACK V EQUIVALENT WITH ENTITIES STARTING FROM PRETRAINED RELATIONS</t>
  </si>
  <si>
    <t>EXPERIMENTS TO IMPROVE PREVIOUS RESULTS</t>
  </si>
  <si>
    <t>ARE MODEL REALLY GOOD OR JUST BIASED?</t>
  </si>
  <si>
    <t>DO MODELS IN A FAMILY OF MODELS BEHAVE THE SAME?</t>
  </si>
  <si>
    <t xml:space="preserve">WEIGHTED RELATION PREDICTION </t>
  </si>
  <si>
    <t>TransH</t>
  </si>
  <si>
    <t>BoxE</t>
  </si>
  <si>
    <t xml:space="preserve">Semantic Matching </t>
  </si>
  <si>
    <t>Deep Scoring Functions</t>
  </si>
  <si>
    <t>DistMulT</t>
  </si>
  <si>
    <t>HolE</t>
  </si>
  <si>
    <t>RESCAL</t>
  </si>
  <si>
    <t>ConvE</t>
  </si>
  <si>
    <t>ConvKB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</si>
</sst>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7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E3EFDB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164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164" fontId="1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164" fontId="1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64" fontId="3" fillId="9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E699"/>
      <color rgb="FFE3EFDB"/>
      <color rgb="FFBE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62D8-2430-9140-9A7B-2FDAF8B91602}">
  <dimension ref="A1:L57"/>
  <sheetViews>
    <sheetView zoomScaleNormal="100" workbookViewId="0">
      <selection sqref="A1:XFD1"/>
    </sheetView>
  </sheetViews>
  <sheetFormatPr baseColWidth="10" defaultColWidth="51.33203125" defaultRowHeight="21" x14ac:dyDescent="0.2"/>
  <cols>
    <col min="1" max="1" width="26.1640625" style="1" customWidth="1"/>
    <col min="2" max="2" width="17.6640625" style="1" customWidth="1"/>
    <col min="3" max="3" width="27.83203125" style="1" customWidth="1"/>
    <col min="4" max="4" width="42.1640625" style="4" customWidth="1"/>
    <col min="5" max="5" width="45.6640625" style="4" customWidth="1"/>
    <col min="6" max="6" width="24" style="11" customWidth="1"/>
    <col min="7" max="7" width="23.1640625" style="11" customWidth="1"/>
    <col min="8" max="8" width="27.5" style="11" customWidth="1"/>
    <col min="9" max="9" width="27.33203125" style="11" customWidth="1"/>
    <col min="10" max="10" width="31.33203125" style="11" customWidth="1"/>
    <col min="11" max="11" width="68.33203125" style="3" customWidth="1"/>
    <col min="12" max="16384" width="51.33203125" style="1"/>
  </cols>
  <sheetData>
    <row r="1" spans="1:12" s="89" customFormat="1" ht="27" thickBot="1" x14ac:dyDescent="0.25">
      <c r="A1" s="89" t="s">
        <v>115</v>
      </c>
    </row>
    <row r="2" spans="1:12" s="86" customFormat="1" ht="66" x14ac:dyDescent="0.2">
      <c r="A2" s="86" t="s">
        <v>0</v>
      </c>
      <c r="B2" s="86" t="s">
        <v>1</v>
      </c>
      <c r="C2" s="87" t="s">
        <v>40</v>
      </c>
      <c r="D2" s="87" t="s">
        <v>9</v>
      </c>
      <c r="E2" s="87" t="s">
        <v>12</v>
      </c>
      <c r="F2" s="88" t="s">
        <v>53</v>
      </c>
      <c r="G2" s="88" t="s">
        <v>54</v>
      </c>
      <c r="H2" s="88" t="s">
        <v>55</v>
      </c>
      <c r="I2" s="88" t="s">
        <v>56</v>
      </c>
      <c r="J2" s="88" t="s">
        <v>82</v>
      </c>
      <c r="K2" s="87" t="s">
        <v>14</v>
      </c>
      <c r="L2" s="87"/>
    </row>
    <row r="3" spans="1:12" x14ac:dyDescent="0.2">
      <c r="A3" s="1" t="s">
        <v>2</v>
      </c>
      <c r="B3" s="1" t="s">
        <v>5</v>
      </c>
      <c r="C3" s="73" t="s">
        <v>41</v>
      </c>
      <c r="D3" s="72" t="s">
        <v>8</v>
      </c>
      <c r="E3" s="72" t="s">
        <v>13</v>
      </c>
      <c r="F3" s="11">
        <v>7.5551294300000002E-2</v>
      </c>
      <c r="G3" s="11">
        <v>2.2051773000000001E-3</v>
      </c>
      <c r="H3" s="11">
        <v>0.44467881110000002</v>
      </c>
      <c r="I3" s="11">
        <v>0.54650166659999999</v>
      </c>
      <c r="J3" s="11">
        <v>0.52440008120000003</v>
      </c>
      <c r="K3" s="75" t="s">
        <v>15</v>
      </c>
    </row>
    <row r="4" spans="1:12" x14ac:dyDescent="0.2">
      <c r="A4" s="1" t="s">
        <v>3</v>
      </c>
      <c r="B4" s="1" t="s">
        <v>6</v>
      </c>
      <c r="C4" s="69"/>
      <c r="D4" s="70"/>
      <c r="E4" s="70"/>
      <c r="F4" s="11">
        <v>3.9117929099999997E-2</v>
      </c>
      <c r="G4" s="11">
        <v>9.5877280000000004E-4</v>
      </c>
      <c r="H4" s="11">
        <v>0.38044103550000002</v>
      </c>
      <c r="I4" s="11">
        <v>0.51528577320000002</v>
      </c>
      <c r="J4" s="11">
        <v>0.4957882649</v>
      </c>
      <c r="K4" s="76"/>
    </row>
    <row r="5" spans="1:12" x14ac:dyDescent="0.2">
      <c r="A5" s="1" t="s">
        <v>4</v>
      </c>
      <c r="B5" s="1" t="s">
        <v>7</v>
      </c>
      <c r="C5" s="69"/>
      <c r="D5" s="70"/>
      <c r="E5" s="70"/>
      <c r="F5" s="11">
        <v>2.1093001000000002E-3</v>
      </c>
      <c r="G5" s="11">
        <v>3.8350910000000001E-4</v>
      </c>
      <c r="H5" s="11">
        <v>0.43509108340000002</v>
      </c>
      <c r="I5" s="11">
        <v>0.56100031829999997</v>
      </c>
      <c r="J5" s="11">
        <v>0.4776301698</v>
      </c>
      <c r="K5" s="76"/>
    </row>
    <row r="7" spans="1:12" x14ac:dyDescent="0.2">
      <c r="A7" s="1" t="s">
        <v>2</v>
      </c>
      <c r="B7" s="1" t="s">
        <v>5</v>
      </c>
      <c r="C7" s="69" t="s">
        <v>42</v>
      </c>
      <c r="D7" s="70" t="s">
        <v>10</v>
      </c>
      <c r="E7" s="70" t="s">
        <v>13</v>
      </c>
      <c r="F7" s="11">
        <v>3.9950182000000001E-2</v>
      </c>
      <c r="G7" s="11">
        <v>1.3412531E-3</v>
      </c>
      <c r="H7" s="11">
        <v>0.36232994829999998</v>
      </c>
      <c r="I7" s="11">
        <v>0.52680552849999995</v>
      </c>
      <c r="J7" s="11">
        <v>0.51801477490000003</v>
      </c>
      <c r="K7" s="76" t="s">
        <v>16</v>
      </c>
    </row>
    <row r="8" spans="1:12" x14ac:dyDescent="0.2">
      <c r="A8" s="1" t="s">
        <v>3</v>
      </c>
      <c r="B8" s="1" t="s">
        <v>6</v>
      </c>
      <c r="C8" s="69"/>
      <c r="D8" s="70"/>
      <c r="E8" s="70"/>
      <c r="F8" s="11">
        <v>3.2094270899999999E-2</v>
      </c>
      <c r="G8" s="11">
        <v>2.5867023999999999E-3</v>
      </c>
      <c r="H8" s="11">
        <v>0.35351599919999999</v>
      </c>
      <c r="I8" s="11">
        <v>0.51165179900000002</v>
      </c>
      <c r="J8" s="11">
        <v>0.50083099880000004</v>
      </c>
      <c r="K8" s="76"/>
    </row>
    <row r="9" spans="1:12" x14ac:dyDescent="0.2">
      <c r="A9" s="1" t="s">
        <v>4</v>
      </c>
      <c r="B9" s="1" t="s">
        <v>7</v>
      </c>
      <c r="C9" s="69"/>
      <c r="D9" s="70"/>
      <c r="E9" s="70"/>
      <c r="F9" s="11">
        <v>2.8741139999999998E-4</v>
      </c>
      <c r="G9" s="11">
        <v>1.2454492999999999E-3</v>
      </c>
      <c r="H9" s="11">
        <v>0.4696301974</v>
      </c>
      <c r="I9" s="11">
        <v>0.54079702780000005</v>
      </c>
      <c r="J9" s="11">
        <v>0.4887305689</v>
      </c>
      <c r="K9" s="76"/>
    </row>
    <row r="11" spans="1:12" s="59" customFormat="1" x14ac:dyDescent="0.2">
      <c r="A11" s="71" t="s">
        <v>37</v>
      </c>
      <c r="B11" s="71"/>
      <c r="C11" s="71"/>
      <c r="D11" s="71"/>
      <c r="E11" s="60"/>
      <c r="F11" s="61"/>
      <c r="G11" s="61"/>
      <c r="H11" s="61"/>
      <c r="I11" s="61"/>
      <c r="J11" s="61"/>
      <c r="K11" s="60"/>
    </row>
    <row r="13" spans="1:12" x14ac:dyDescent="0.2">
      <c r="A13" s="1" t="s">
        <v>2</v>
      </c>
      <c r="B13" s="1" t="s">
        <v>5</v>
      </c>
      <c r="C13" s="69" t="s">
        <v>43</v>
      </c>
      <c r="D13" s="70" t="s">
        <v>11</v>
      </c>
      <c r="E13" s="70" t="s">
        <v>17</v>
      </c>
      <c r="F13" s="11">
        <v>0.11278433860000001</v>
      </c>
      <c r="G13" s="11">
        <v>5.3816279600000003E-2</v>
      </c>
      <c r="H13" s="11">
        <v>0.51319648090000003</v>
      </c>
      <c r="I13" s="11">
        <v>0.66492071900000005</v>
      </c>
      <c r="J13" s="11">
        <v>0.65087326729999995</v>
      </c>
      <c r="K13" s="76" t="s">
        <v>18</v>
      </c>
    </row>
    <row r="14" spans="1:12" x14ac:dyDescent="0.2">
      <c r="A14" s="1" t="s">
        <v>3</v>
      </c>
      <c r="B14" s="1" t="s">
        <v>6</v>
      </c>
      <c r="C14" s="69"/>
      <c r="D14" s="70"/>
      <c r="E14" s="70"/>
      <c r="F14" s="11">
        <v>1.0937623800000001E-2</v>
      </c>
      <c r="G14" s="11">
        <v>0</v>
      </c>
      <c r="H14" s="11">
        <v>0.33597527150000001</v>
      </c>
      <c r="I14" s="11">
        <v>0.48085677599999999</v>
      </c>
      <c r="J14" s="11">
        <v>0.48031703009999999</v>
      </c>
      <c r="K14" s="76"/>
    </row>
    <row r="15" spans="1:12" x14ac:dyDescent="0.2">
      <c r="A15" s="1" t="s">
        <v>4</v>
      </c>
      <c r="B15" s="1" t="s">
        <v>7</v>
      </c>
      <c r="C15" s="69"/>
      <c r="D15" s="70"/>
      <c r="E15" s="70"/>
      <c r="F15" s="11">
        <v>2.377744E-4</v>
      </c>
      <c r="G15" s="11">
        <v>6.7369420000000003E-4</v>
      </c>
      <c r="H15" s="11">
        <v>0.99643338349999999</v>
      </c>
      <c r="I15" s="11">
        <v>0.38529727969999999</v>
      </c>
      <c r="J15" s="11">
        <v>0.49770047779999999</v>
      </c>
      <c r="K15" s="76"/>
    </row>
    <row r="17" spans="1:11" x14ac:dyDescent="0.2">
      <c r="A17" s="1" t="s">
        <v>2</v>
      </c>
      <c r="B17" s="1" t="s">
        <v>5</v>
      </c>
      <c r="C17" s="69" t="s">
        <v>44</v>
      </c>
      <c r="D17" s="70" t="s">
        <v>19</v>
      </c>
      <c r="E17" s="70" t="s">
        <v>27</v>
      </c>
      <c r="F17" s="11">
        <v>0.25311472569999999</v>
      </c>
      <c r="G17" s="11">
        <v>0.14518082709999999</v>
      </c>
      <c r="H17" s="11">
        <v>0.40370306280000001</v>
      </c>
      <c r="I17" s="11">
        <v>0.79073086699999995</v>
      </c>
      <c r="J17" s="11">
        <v>0.44106115289999998</v>
      </c>
      <c r="K17" s="76" t="s">
        <v>36</v>
      </c>
    </row>
    <row r="18" spans="1:11" x14ac:dyDescent="0.2">
      <c r="A18" s="1" t="s">
        <v>3</v>
      </c>
      <c r="B18" s="1" t="s">
        <v>6</v>
      </c>
      <c r="C18" s="69"/>
      <c r="D18" s="70"/>
      <c r="E18" s="70"/>
      <c r="F18" s="11">
        <v>6.6187922000000001E-3</v>
      </c>
      <c r="G18" s="11">
        <v>4.326008E-4</v>
      </c>
      <c r="H18" s="11">
        <v>0.40811559089999999</v>
      </c>
      <c r="I18" s="11">
        <v>0.63536669859999995</v>
      </c>
      <c r="J18" s="11">
        <v>0.48203358359999998</v>
      </c>
      <c r="K18" s="76"/>
    </row>
    <row r="19" spans="1:11" x14ac:dyDescent="0.2">
      <c r="A19" s="1" t="s">
        <v>4</v>
      </c>
      <c r="B19" s="1" t="s">
        <v>7</v>
      </c>
      <c r="C19" s="69"/>
      <c r="D19" s="70"/>
      <c r="E19" s="70"/>
      <c r="F19" s="11">
        <v>1.9467035999999999E-3</v>
      </c>
      <c r="G19" s="11">
        <v>0.24390032880000001</v>
      </c>
      <c r="H19" s="11">
        <v>0.37281536599999998</v>
      </c>
      <c r="I19" s="11">
        <v>0.61435163960000005</v>
      </c>
      <c r="J19" s="11">
        <v>0.31319458500000003</v>
      </c>
      <c r="K19" s="76"/>
    </row>
    <row r="21" spans="1:11" x14ac:dyDescent="0.2">
      <c r="A21" s="1" t="s">
        <v>2</v>
      </c>
      <c r="B21" s="1" t="s">
        <v>5</v>
      </c>
      <c r="C21" s="69" t="s">
        <v>45</v>
      </c>
      <c r="D21" s="70" t="s">
        <v>20</v>
      </c>
      <c r="E21" s="70" t="s">
        <v>28</v>
      </c>
      <c r="F21" s="11">
        <v>0.39523043940000002</v>
      </c>
      <c r="G21" s="11">
        <v>3.3092175799999998E-2</v>
      </c>
      <c r="H21" s="11">
        <v>0.68837084670000004</v>
      </c>
      <c r="I21" s="11">
        <v>0.86719286390000005</v>
      </c>
      <c r="J21" s="11">
        <v>0.42558258160000001</v>
      </c>
      <c r="K21" s="76" t="s">
        <v>35</v>
      </c>
    </row>
    <row r="22" spans="1:11" x14ac:dyDescent="0.2">
      <c r="A22" s="1" t="s">
        <v>3</v>
      </c>
      <c r="B22" s="1" t="s">
        <v>6</v>
      </c>
      <c r="C22" s="69"/>
      <c r="D22" s="70"/>
      <c r="E22" s="70"/>
      <c r="F22" s="11">
        <v>0.36964094320000002</v>
      </c>
      <c r="G22" s="11">
        <v>1.3397640000000001E-4</v>
      </c>
      <c r="H22" s="11">
        <v>0.63594140759999995</v>
      </c>
      <c r="I22" s="11">
        <v>0.84374597640000004</v>
      </c>
      <c r="J22" s="11">
        <v>0.71370811339999995</v>
      </c>
      <c r="K22" s="76"/>
    </row>
    <row r="23" spans="1:11" x14ac:dyDescent="0.2">
      <c r="A23" s="1" t="s">
        <v>4</v>
      </c>
      <c r="B23" s="1" t="s">
        <v>7</v>
      </c>
      <c r="C23" s="69"/>
      <c r="D23" s="70"/>
      <c r="E23" s="70"/>
      <c r="F23" s="11">
        <v>1.786352E-4</v>
      </c>
      <c r="G23" s="11">
        <v>0.18283315459999999</v>
      </c>
      <c r="H23" s="11">
        <v>4.60878885E-2</v>
      </c>
      <c r="I23" s="11">
        <v>0.55456118539999999</v>
      </c>
      <c r="J23" s="11">
        <v>0.35677707139999998</v>
      </c>
      <c r="K23" s="76"/>
    </row>
    <row r="25" spans="1:11" x14ac:dyDescent="0.2">
      <c r="A25" s="1" t="s">
        <v>2</v>
      </c>
      <c r="B25" s="1" t="s">
        <v>5</v>
      </c>
      <c r="C25" s="69" t="s">
        <v>46</v>
      </c>
      <c r="D25" s="70" t="s">
        <v>21</v>
      </c>
      <c r="E25" s="70" t="s">
        <v>32</v>
      </c>
      <c r="F25" s="11">
        <v>0.29124472569999998</v>
      </c>
      <c r="G25" s="11">
        <v>0.21207805900000001</v>
      </c>
      <c r="H25" s="11">
        <v>0.74541139239999998</v>
      </c>
      <c r="I25" s="11">
        <v>0.84123693610000005</v>
      </c>
      <c r="J25" s="11">
        <v>0.70529922560000002</v>
      </c>
    </row>
    <row r="26" spans="1:11" x14ac:dyDescent="0.2">
      <c r="A26" s="1" t="s">
        <v>3</v>
      </c>
      <c r="B26" s="1" t="s">
        <v>6</v>
      </c>
      <c r="C26" s="69"/>
      <c r="D26" s="70"/>
      <c r="E26" s="70"/>
      <c r="F26" s="11">
        <v>2.2257384000000002E-2</v>
      </c>
      <c r="G26" s="11">
        <v>2.6371309999999998E-4</v>
      </c>
      <c r="H26" s="11">
        <v>0.36339662449999999</v>
      </c>
      <c r="I26" s="11">
        <v>0.56503944530000005</v>
      </c>
      <c r="J26" s="11">
        <v>0.50280775200000005</v>
      </c>
    </row>
    <row r="27" spans="1:11" x14ac:dyDescent="0.2">
      <c r="A27" s="1" t="s">
        <v>4</v>
      </c>
      <c r="B27" s="1" t="s">
        <v>7</v>
      </c>
      <c r="C27" s="69"/>
      <c r="D27" s="70"/>
      <c r="E27" s="70"/>
      <c r="F27" s="11">
        <v>3.9556960000000001E-4</v>
      </c>
      <c r="G27" s="11">
        <v>2.6371309999999998E-4</v>
      </c>
      <c r="H27" s="11">
        <v>1</v>
      </c>
      <c r="I27" s="11">
        <v>0.78779105299999996</v>
      </c>
      <c r="J27" s="11">
        <v>0.27760191880000001</v>
      </c>
    </row>
    <row r="29" spans="1:11" x14ac:dyDescent="0.2">
      <c r="A29" s="1" t="s">
        <v>2</v>
      </c>
      <c r="B29" s="1" t="s">
        <v>5</v>
      </c>
      <c r="C29" s="69" t="s">
        <v>47</v>
      </c>
      <c r="D29" s="70" t="s">
        <v>22</v>
      </c>
      <c r="E29" s="70" t="s">
        <v>33</v>
      </c>
      <c r="F29" s="11">
        <v>0.35495752229999999</v>
      </c>
      <c r="G29" s="11">
        <v>0.21803419730000001</v>
      </c>
      <c r="H29" s="11">
        <v>0.44531670070000001</v>
      </c>
      <c r="I29" s="11">
        <v>0.79220231240000005</v>
      </c>
      <c r="J29" s="11">
        <v>0.53978133429999997</v>
      </c>
    </row>
    <row r="30" spans="1:11" x14ac:dyDescent="0.2">
      <c r="A30" s="1" t="s">
        <v>3</v>
      </c>
      <c r="B30" s="1" t="s">
        <v>6</v>
      </c>
      <c r="C30" s="69"/>
      <c r="D30" s="70"/>
      <c r="E30" s="70"/>
      <c r="F30" s="11">
        <v>1.8442843300000001E-2</v>
      </c>
      <c r="G30" s="11">
        <v>5.37692E-5</v>
      </c>
      <c r="H30" s="11">
        <v>0.35874825249999998</v>
      </c>
      <c r="I30" s="11">
        <v>0.58555127210000002</v>
      </c>
      <c r="J30" s="11">
        <v>0.52262452000000004</v>
      </c>
    </row>
    <row r="31" spans="1:11" x14ac:dyDescent="0.2">
      <c r="A31" s="1" t="s">
        <v>4</v>
      </c>
      <c r="B31" s="1" t="s">
        <v>7</v>
      </c>
      <c r="C31" s="69"/>
      <c r="D31" s="70"/>
      <c r="E31" s="70"/>
      <c r="F31" s="11">
        <v>6.9899990000000004E-4</v>
      </c>
      <c r="G31" s="11">
        <v>2.6884609999999997E-4</v>
      </c>
      <c r="H31" s="11">
        <v>1</v>
      </c>
      <c r="I31" s="11">
        <v>0.75475396159999997</v>
      </c>
      <c r="J31" s="11">
        <v>0.29488310699999998</v>
      </c>
    </row>
    <row r="33" spans="1:11" x14ac:dyDescent="0.2">
      <c r="A33" s="1" t="s">
        <v>2</v>
      </c>
      <c r="B33" s="1" t="s">
        <v>5</v>
      </c>
      <c r="C33" s="69" t="s">
        <v>48</v>
      </c>
      <c r="D33" s="70" t="s">
        <v>23</v>
      </c>
      <c r="E33" s="70" t="s">
        <v>29</v>
      </c>
      <c r="F33" s="11">
        <v>0.29222857140000003</v>
      </c>
      <c r="G33" s="11">
        <v>6.5342857200000007E-2</v>
      </c>
      <c r="H33" s="11">
        <v>0.52434285709999995</v>
      </c>
      <c r="I33" s="11">
        <v>0.87609028769999997</v>
      </c>
      <c r="J33" s="11">
        <v>0.45148898980000002</v>
      </c>
    </row>
    <row r="34" spans="1:11" x14ac:dyDescent="0.2">
      <c r="A34" s="1" t="s">
        <v>3</v>
      </c>
      <c r="B34" s="1" t="s">
        <v>6</v>
      </c>
      <c r="C34" s="69"/>
      <c r="D34" s="70"/>
      <c r="E34" s="70"/>
      <c r="F34" s="11">
        <v>4.8571429999999999E-4</v>
      </c>
      <c r="G34" s="11">
        <v>7.7142849999999995E-4</v>
      </c>
      <c r="H34" s="11">
        <v>7.5257142900000004E-2</v>
      </c>
      <c r="I34" s="11">
        <v>0.49477284040000002</v>
      </c>
      <c r="J34" s="11">
        <v>0.43843272950000001</v>
      </c>
    </row>
    <row r="35" spans="1:11" x14ac:dyDescent="0.2">
      <c r="A35" s="1" t="s">
        <v>4</v>
      </c>
      <c r="B35" s="1" t="s">
        <v>7</v>
      </c>
      <c r="C35" s="69"/>
      <c r="D35" s="70"/>
      <c r="E35" s="70"/>
      <c r="F35" s="11">
        <v>8.5714299999999993E-5</v>
      </c>
      <c r="G35" s="11">
        <v>2.857143E-4</v>
      </c>
      <c r="H35" s="11">
        <v>1</v>
      </c>
      <c r="I35" s="11">
        <v>0.7350538727</v>
      </c>
      <c r="J35" s="11">
        <v>0.28468339840000001</v>
      </c>
    </row>
    <row r="37" spans="1:11" x14ac:dyDescent="0.2">
      <c r="A37" s="1" t="s">
        <v>2</v>
      </c>
      <c r="B37" s="1" t="s">
        <v>5</v>
      </c>
      <c r="C37" s="69" t="s">
        <v>49</v>
      </c>
      <c r="D37" s="70" t="s">
        <v>24</v>
      </c>
      <c r="E37" s="70" t="s">
        <v>34</v>
      </c>
      <c r="F37" s="11">
        <v>0.2590513612</v>
      </c>
      <c r="G37" s="11">
        <v>0.19550138319999999</v>
      </c>
      <c r="H37" s="11">
        <v>0.49388556989999999</v>
      </c>
      <c r="I37" s="11">
        <v>0.79988943899999998</v>
      </c>
      <c r="J37" s="11">
        <v>0.56712002669999995</v>
      </c>
    </row>
    <row r="38" spans="1:11" x14ac:dyDescent="0.2">
      <c r="A38" s="1" t="s">
        <v>3</v>
      </c>
      <c r="B38" s="1" t="s">
        <v>6</v>
      </c>
      <c r="C38" s="69"/>
      <c r="D38" s="70"/>
      <c r="E38" s="70"/>
      <c r="F38" s="11">
        <v>0.12567659680000001</v>
      </c>
      <c r="G38" s="11">
        <v>8.0189299999999995E-5</v>
      </c>
      <c r="H38" s="11">
        <v>0.55410769419999995</v>
      </c>
      <c r="I38" s="11">
        <v>0.68580146590000002</v>
      </c>
      <c r="J38" s="11">
        <v>0.68997979440000001</v>
      </c>
    </row>
    <row r="39" spans="1:11" x14ac:dyDescent="0.2">
      <c r="A39" s="1" t="s">
        <v>4</v>
      </c>
      <c r="B39" s="1" t="s">
        <v>7</v>
      </c>
      <c r="C39" s="69"/>
      <c r="D39" s="70"/>
      <c r="E39" s="70"/>
      <c r="F39" s="11">
        <v>5.4127739999999998E-4</v>
      </c>
      <c r="G39" s="11">
        <v>2.0047310000000001E-4</v>
      </c>
      <c r="H39" s="11">
        <v>1</v>
      </c>
      <c r="I39" s="11">
        <v>0.82154033039999996</v>
      </c>
      <c r="J39" s="11">
        <v>0.24669741079999999</v>
      </c>
    </row>
    <row r="41" spans="1:11" s="59" customFormat="1" x14ac:dyDescent="0.2">
      <c r="A41" s="71" t="s">
        <v>38</v>
      </c>
      <c r="B41" s="71"/>
      <c r="C41" s="71"/>
      <c r="D41" s="71"/>
      <c r="E41" s="60"/>
      <c r="F41" s="61"/>
      <c r="G41" s="61"/>
      <c r="H41" s="61"/>
      <c r="I41" s="61"/>
      <c r="J41" s="61"/>
      <c r="K41" s="60"/>
    </row>
    <row r="43" spans="1:11" x14ac:dyDescent="0.2">
      <c r="A43" s="1" t="s">
        <v>2</v>
      </c>
      <c r="B43" s="1" t="s">
        <v>5</v>
      </c>
      <c r="C43" s="69" t="s">
        <v>50</v>
      </c>
      <c r="D43" s="70" t="s">
        <v>25</v>
      </c>
      <c r="E43" s="70" t="s">
        <v>27</v>
      </c>
      <c r="F43" s="11">
        <v>0.28531987060000003</v>
      </c>
      <c r="G43" s="11">
        <v>0.20485919380000001</v>
      </c>
      <c r="H43" s="11">
        <v>0.46154452950000002</v>
      </c>
      <c r="I43" s="11">
        <v>0.74483595489999999</v>
      </c>
      <c r="J43" s="11">
        <v>0.47978398890000001</v>
      </c>
      <c r="K43" s="76" t="s">
        <v>30</v>
      </c>
    </row>
    <row r="44" spans="1:11" x14ac:dyDescent="0.2">
      <c r="A44" s="1" t="s">
        <v>3</v>
      </c>
      <c r="B44" s="1" t="s">
        <v>6</v>
      </c>
      <c r="C44" s="69"/>
      <c r="D44" s="70"/>
      <c r="E44" s="70"/>
      <c r="F44" s="11">
        <v>0.15768715</v>
      </c>
      <c r="G44" s="11">
        <v>3.9441499999999998E-5</v>
      </c>
      <c r="H44" s="11">
        <v>0.52638636900000002</v>
      </c>
      <c r="I44" s="11">
        <v>0.69569912779999998</v>
      </c>
      <c r="J44" s="11">
        <v>0.64265883619999997</v>
      </c>
      <c r="K44" s="76"/>
    </row>
    <row r="45" spans="1:11" x14ac:dyDescent="0.2">
      <c r="A45" s="1" t="s">
        <v>4</v>
      </c>
      <c r="B45" s="1" t="s">
        <v>7</v>
      </c>
      <c r="C45" s="69"/>
      <c r="D45" s="70"/>
      <c r="E45" s="70"/>
      <c r="F45" s="11">
        <v>1.5776599999999999E-4</v>
      </c>
      <c r="G45" s="11">
        <v>3.9441509999999999E-4</v>
      </c>
      <c r="H45" s="11">
        <v>1</v>
      </c>
      <c r="I45" s="11">
        <v>0.75793743489999998</v>
      </c>
      <c r="J45" s="11">
        <v>0.33957444949999999</v>
      </c>
      <c r="K45" s="76"/>
    </row>
    <row r="47" spans="1:11" x14ac:dyDescent="0.2">
      <c r="A47" s="1" t="s">
        <v>2</v>
      </c>
      <c r="B47" s="1" t="s">
        <v>5</v>
      </c>
      <c r="C47" s="69" t="s">
        <v>51</v>
      </c>
      <c r="D47" s="70" t="s">
        <v>26</v>
      </c>
      <c r="E47" s="70" t="s">
        <v>28</v>
      </c>
      <c r="F47" s="11">
        <v>0.35679343540000003</v>
      </c>
      <c r="G47" s="11">
        <v>1.6174846E-3</v>
      </c>
      <c r="H47" s="11">
        <v>0.69543948239999998</v>
      </c>
      <c r="I47" s="11">
        <v>0.76948813009999995</v>
      </c>
      <c r="J47" s="11">
        <v>0.43650638670000003</v>
      </c>
      <c r="K47" s="76" t="s">
        <v>31</v>
      </c>
    </row>
    <row r="48" spans="1:11" x14ac:dyDescent="0.2">
      <c r="A48" s="1" t="s">
        <v>3</v>
      </c>
      <c r="B48" s="1" t="s">
        <v>6</v>
      </c>
      <c r="C48" s="69"/>
      <c r="D48" s="70"/>
      <c r="E48" s="70"/>
      <c r="F48" s="11">
        <v>0.28846457310000001</v>
      </c>
      <c r="G48" s="11">
        <v>3.9450850000000002E-4</v>
      </c>
      <c r="H48" s="11">
        <v>0.62947767080000006</v>
      </c>
      <c r="I48" s="11">
        <v>0.73463845350000001</v>
      </c>
      <c r="J48" s="11">
        <v>0.62979789600000002</v>
      </c>
      <c r="K48" s="76"/>
    </row>
    <row r="49" spans="1:11" x14ac:dyDescent="0.2">
      <c r="A49" s="1" t="s">
        <v>4</v>
      </c>
      <c r="B49" s="1" t="s">
        <v>7</v>
      </c>
      <c r="C49" s="69"/>
      <c r="D49" s="70"/>
      <c r="E49" s="70"/>
      <c r="F49" s="11">
        <v>2.7615590000000002E-4</v>
      </c>
      <c r="G49" s="11">
        <v>5.2075113999999999E-3</v>
      </c>
      <c r="H49" s="11">
        <v>0.59902161909999996</v>
      </c>
      <c r="I49" s="11">
        <v>0.69259024489999998</v>
      </c>
      <c r="J49" s="11">
        <v>0.39453545410000002</v>
      </c>
      <c r="K49" s="76"/>
    </row>
    <row r="51" spans="1:11" x14ac:dyDescent="0.2">
      <c r="A51" s="1" t="s">
        <v>2</v>
      </c>
      <c r="B51" s="1" t="s">
        <v>5</v>
      </c>
      <c r="C51" s="69" t="s">
        <v>52</v>
      </c>
      <c r="D51" s="70" t="s">
        <v>39</v>
      </c>
      <c r="E51" s="70" t="s">
        <v>29</v>
      </c>
      <c r="F51" s="11">
        <v>0.2336330221</v>
      </c>
      <c r="G51" s="11">
        <v>0.14819690050000001</v>
      </c>
      <c r="H51" s="11">
        <v>0.66992847209999995</v>
      </c>
      <c r="I51" s="11">
        <v>0.8383940621</v>
      </c>
      <c r="J51" s="11">
        <v>0.58076474560000002</v>
      </c>
    </row>
    <row r="52" spans="1:11" x14ac:dyDescent="0.2">
      <c r="A52" s="1" t="s">
        <v>3</v>
      </c>
      <c r="B52" s="1" t="s">
        <v>6</v>
      </c>
      <c r="C52" s="69"/>
      <c r="D52" s="70"/>
      <c r="E52" s="70"/>
      <c r="F52" s="11">
        <v>3.5391416699999997E-2</v>
      </c>
      <c r="G52" s="11">
        <v>2.4836090000000002E-4</v>
      </c>
      <c r="H52" s="11">
        <v>0.54530101330000003</v>
      </c>
      <c r="I52" s="11">
        <v>0.68842329739999997</v>
      </c>
      <c r="J52" s="11">
        <v>0.64893773720000003</v>
      </c>
    </row>
    <row r="53" spans="1:11" x14ac:dyDescent="0.2">
      <c r="A53" s="1" t="s">
        <v>4</v>
      </c>
      <c r="B53" s="1" t="s">
        <v>7</v>
      </c>
      <c r="C53" s="69"/>
      <c r="D53" s="70"/>
      <c r="E53" s="70"/>
      <c r="F53" s="11">
        <v>9.9344299999999997E-5</v>
      </c>
      <c r="G53" s="11">
        <v>1.4901650000000001E-4</v>
      </c>
      <c r="H53" s="11">
        <v>8.3945957000000002E-3</v>
      </c>
      <c r="I53" s="11">
        <v>0.14927075749999999</v>
      </c>
      <c r="J53" s="11">
        <v>0.49504548949999999</v>
      </c>
    </row>
    <row r="56" spans="1:11" s="42" customFormat="1" x14ac:dyDescent="0.2">
      <c r="A56" s="68" t="s">
        <v>59</v>
      </c>
      <c r="B56" s="68"/>
      <c r="C56" s="68"/>
      <c r="D56" s="68"/>
      <c r="E56" s="39"/>
      <c r="F56" s="40">
        <f>MAX(F3:F53)</f>
        <v>0.39523043940000002</v>
      </c>
      <c r="G56" s="40">
        <f>MAX(G3:G53)</f>
        <v>0.24390032880000001</v>
      </c>
      <c r="H56" s="40">
        <f>MAX(H3:H53)</f>
        <v>1</v>
      </c>
      <c r="I56" s="40">
        <f>MAX(I3:I53)</f>
        <v>0.87609028769999997</v>
      </c>
      <c r="J56" s="40">
        <f>MAX(J3:J53)</f>
        <v>0.71370811339999995</v>
      </c>
      <c r="K56" s="41"/>
    </row>
    <row r="57" spans="1:11" s="46" customFormat="1" x14ac:dyDescent="0.2">
      <c r="A57" s="74" t="s">
        <v>60</v>
      </c>
      <c r="B57" s="74"/>
      <c r="C57" s="74"/>
      <c r="D57" s="74"/>
      <c r="E57" s="43"/>
      <c r="F57" s="44">
        <f>AVERAGE(F3:F53)</f>
        <v>0.11288026050555554</v>
      </c>
      <c r="G57" s="44">
        <f>AVERAGE(G3:G53)</f>
        <v>4.7862085486111108E-2</v>
      </c>
      <c r="H57" s="44">
        <f>AVERAGE(H3:H53)</f>
        <v>0.54284128776111118</v>
      </c>
      <c r="I57" s="44">
        <f>AVERAGE(I3:I53)</f>
        <v>0.66250185551944452</v>
      </c>
      <c r="J57" s="44">
        <f>AVERAGE(J3:J53)</f>
        <v>0.48710133090555563</v>
      </c>
      <c r="K57" s="45"/>
    </row>
  </sheetData>
  <mergeCells count="48">
    <mergeCell ref="A1:XFD1"/>
    <mergeCell ref="A57:D57"/>
    <mergeCell ref="E51:E53"/>
    <mergeCell ref="K3:K5"/>
    <mergeCell ref="K7:K9"/>
    <mergeCell ref="K13:K15"/>
    <mergeCell ref="K17:K19"/>
    <mergeCell ref="K21:K23"/>
    <mergeCell ref="K43:K45"/>
    <mergeCell ref="K47:K49"/>
    <mergeCell ref="E25:E27"/>
    <mergeCell ref="E29:E31"/>
    <mergeCell ref="E33:E35"/>
    <mergeCell ref="E37:E39"/>
    <mergeCell ref="E43:E45"/>
    <mergeCell ref="E3:E5"/>
    <mergeCell ref="E7:E9"/>
    <mergeCell ref="E13:E15"/>
    <mergeCell ref="E17:E19"/>
    <mergeCell ref="E21:E23"/>
    <mergeCell ref="C43:C45"/>
    <mergeCell ref="C47:C49"/>
    <mergeCell ref="C29:C31"/>
    <mergeCell ref="C33:C35"/>
    <mergeCell ref="C37:C39"/>
    <mergeCell ref="E47:E49"/>
    <mergeCell ref="D3:D5"/>
    <mergeCell ref="D7:D9"/>
    <mergeCell ref="D13:D15"/>
    <mergeCell ref="D17:D19"/>
    <mergeCell ref="D21:D23"/>
    <mergeCell ref="A11:D11"/>
    <mergeCell ref="C3:C5"/>
    <mergeCell ref="A56:D56"/>
    <mergeCell ref="C7:C9"/>
    <mergeCell ref="C13:C15"/>
    <mergeCell ref="C17:C19"/>
    <mergeCell ref="C21:C23"/>
    <mergeCell ref="C25:C27"/>
    <mergeCell ref="C51:C53"/>
    <mergeCell ref="D25:D27"/>
    <mergeCell ref="D29:D31"/>
    <mergeCell ref="D33:D35"/>
    <mergeCell ref="D37:D39"/>
    <mergeCell ref="D43:D45"/>
    <mergeCell ref="D47:D49"/>
    <mergeCell ref="D51:D53"/>
    <mergeCell ref="A41:D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7533-334C-8545-BBC4-8C9F3EE864EF}">
  <dimension ref="A1:L57"/>
  <sheetViews>
    <sheetView zoomScaleNormal="100" workbookViewId="0">
      <pane ySplit="2" topLeftCell="A3" activePane="bottomLeft" state="frozen"/>
      <selection pane="bottomLeft" sqref="A1:XFD1"/>
    </sheetView>
  </sheetViews>
  <sheetFormatPr baseColWidth="10" defaultColWidth="51.33203125" defaultRowHeight="21" x14ac:dyDescent="0.2"/>
  <cols>
    <col min="1" max="1" width="26.1640625" style="1" customWidth="1"/>
    <col min="2" max="2" width="17.6640625" style="1" customWidth="1"/>
    <col min="3" max="3" width="34.5" style="1" customWidth="1"/>
    <col min="4" max="4" width="35.33203125" style="4" customWidth="1"/>
    <col min="5" max="5" width="44.33203125" style="4" customWidth="1"/>
    <col min="6" max="6" width="24" style="11" customWidth="1"/>
    <col min="7" max="7" width="23.1640625" style="1" customWidth="1"/>
    <col min="8" max="8" width="27.5" style="1" customWidth="1"/>
    <col min="9" max="9" width="27.33203125" style="1" customWidth="1"/>
    <col min="10" max="10" width="31.33203125" style="1" customWidth="1"/>
    <col min="11" max="11" width="68.33203125" style="3" customWidth="1"/>
    <col min="12" max="16384" width="51.33203125" style="1"/>
  </cols>
  <sheetData>
    <row r="1" spans="1:12" s="89" customFormat="1" ht="27" thickBot="1" x14ac:dyDescent="0.25">
      <c r="A1" s="89" t="s">
        <v>116</v>
      </c>
    </row>
    <row r="2" spans="1:12" s="6" customFormat="1" ht="66" x14ac:dyDescent="0.2">
      <c r="A2" s="6" t="s">
        <v>0</v>
      </c>
      <c r="B2" s="6" t="s">
        <v>1</v>
      </c>
      <c r="C2" s="7" t="s">
        <v>40</v>
      </c>
      <c r="D2" s="7" t="s">
        <v>9</v>
      </c>
      <c r="E2" s="7" t="s">
        <v>12</v>
      </c>
      <c r="F2" s="12" t="s">
        <v>53</v>
      </c>
      <c r="G2" s="7" t="s">
        <v>54</v>
      </c>
      <c r="H2" s="7" t="s">
        <v>55</v>
      </c>
      <c r="I2" s="7" t="s">
        <v>56</v>
      </c>
      <c r="J2" s="7" t="s">
        <v>57</v>
      </c>
      <c r="K2" s="7" t="s">
        <v>14</v>
      </c>
      <c r="L2" s="7"/>
    </row>
    <row r="3" spans="1:12" x14ac:dyDescent="0.2">
      <c r="A3" s="1" t="s">
        <v>2</v>
      </c>
      <c r="B3" s="1" t="s">
        <v>5</v>
      </c>
      <c r="C3" s="73" t="s">
        <v>41</v>
      </c>
      <c r="D3" s="72" t="s">
        <v>8</v>
      </c>
      <c r="E3" s="72" t="s">
        <v>13</v>
      </c>
      <c r="F3" s="11">
        <v>7.4400767000000007E-2</v>
      </c>
      <c r="G3" s="11">
        <v>1.8216682999999999E-3</v>
      </c>
      <c r="H3" s="11">
        <v>0.3535953979</v>
      </c>
      <c r="I3" s="11">
        <v>0.52455385129999998</v>
      </c>
      <c r="J3" s="11">
        <v>0.5008326072</v>
      </c>
      <c r="K3" s="75" t="s">
        <v>15</v>
      </c>
    </row>
    <row r="4" spans="1:12" x14ac:dyDescent="0.2">
      <c r="A4" s="1" t="s">
        <v>3</v>
      </c>
      <c r="B4" s="1" t="s">
        <v>6</v>
      </c>
      <c r="C4" s="69"/>
      <c r="D4" s="70"/>
      <c r="E4" s="70"/>
      <c r="F4" s="11">
        <v>2.8763183099999999E-2</v>
      </c>
      <c r="G4" s="11">
        <v>1.0546500999999999E-3</v>
      </c>
      <c r="H4" s="11">
        <v>0.3340364334</v>
      </c>
      <c r="I4" s="11">
        <v>0.51946074129999997</v>
      </c>
      <c r="J4" s="11">
        <v>0.49456959480000001</v>
      </c>
      <c r="K4" s="76"/>
    </row>
    <row r="5" spans="1:12" x14ac:dyDescent="0.2">
      <c r="A5" s="1" t="s">
        <v>4</v>
      </c>
      <c r="B5" s="1" t="s">
        <v>7</v>
      </c>
      <c r="C5" s="69"/>
      <c r="D5" s="70"/>
      <c r="E5" s="70"/>
      <c r="F5" s="11">
        <v>5.7526370000000003E-4</v>
      </c>
      <c r="G5" s="11">
        <v>4.7938640000000002E-4</v>
      </c>
      <c r="H5" s="11">
        <v>0.39041227229999997</v>
      </c>
      <c r="I5" s="11">
        <v>0.54885855390000005</v>
      </c>
      <c r="J5" s="11">
        <v>0.46208879800000002</v>
      </c>
      <c r="K5" s="76"/>
    </row>
    <row r="6" spans="1:12" x14ac:dyDescent="0.2">
      <c r="G6" s="11"/>
      <c r="H6" s="11"/>
      <c r="I6" s="11"/>
      <c r="J6" s="11"/>
    </row>
    <row r="7" spans="1:12" x14ac:dyDescent="0.2">
      <c r="A7" s="1" t="s">
        <v>2</v>
      </c>
      <c r="B7" s="1" t="s">
        <v>5</v>
      </c>
      <c r="C7" s="69" t="s">
        <v>42</v>
      </c>
      <c r="D7" s="70" t="s">
        <v>10</v>
      </c>
      <c r="E7" s="70" t="s">
        <v>13</v>
      </c>
      <c r="F7" s="11">
        <v>4.5985821000000003E-2</v>
      </c>
      <c r="G7" s="11">
        <v>5.0776010999999998E-3</v>
      </c>
      <c r="H7" s="11">
        <v>0.3447020502</v>
      </c>
      <c r="I7" s="11">
        <v>0.51933168490000003</v>
      </c>
      <c r="J7" s="11">
        <v>0.50993042769999997</v>
      </c>
      <c r="K7" s="76" t="s">
        <v>16</v>
      </c>
    </row>
    <row r="8" spans="1:12" x14ac:dyDescent="0.2">
      <c r="A8" s="1" t="s">
        <v>3</v>
      </c>
      <c r="B8" s="1" t="s">
        <v>6</v>
      </c>
      <c r="C8" s="69"/>
      <c r="D8" s="70"/>
      <c r="E8" s="70"/>
      <c r="F8" s="11">
        <v>3.3435524000000001E-2</v>
      </c>
      <c r="G8" s="11">
        <v>2.3950948999999998E-3</v>
      </c>
      <c r="H8" s="11">
        <v>0.35504885990000001</v>
      </c>
      <c r="I8" s="11">
        <v>0.49892429649999998</v>
      </c>
      <c r="J8" s="11">
        <v>0.50392556320000004</v>
      </c>
      <c r="K8" s="76"/>
    </row>
    <row r="9" spans="1:12" x14ac:dyDescent="0.2">
      <c r="A9" s="1" t="s">
        <v>4</v>
      </c>
      <c r="B9" s="1" t="s">
        <v>7</v>
      </c>
      <c r="C9" s="69"/>
      <c r="D9" s="70"/>
      <c r="E9" s="70"/>
      <c r="F9" s="11">
        <v>3.8321520000000002E-4</v>
      </c>
      <c r="G9" s="11">
        <v>2.0118796E-3</v>
      </c>
      <c r="H9" s="11">
        <v>0.35294117650000001</v>
      </c>
      <c r="I9" s="11">
        <v>0.50147258729999999</v>
      </c>
      <c r="J9" s="11">
        <v>0.47738500210000001</v>
      </c>
      <c r="K9" s="76"/>
    </row>
    <row r="10" spans="1:12" x14ac:dyDescent="0.2">
      <c r="G10" s="11"/>
      <c r="H10" s="11"/>
      <c r="I10" s="11"/>
      <c r="J10" s="11"/>
    </row>
    <row r="11" spans="1:12" s="59" customFormat="1" x14ac:dyDescent="0.2">
      <c r="A11" s="71" t="s">
        <v>37</v>
      </c>
      <c r="B11" s="71"/>
      <c r="C11" s="71"/>
      <c r="D11" s="71"/>
      <c r="E11" s="60"/>
      <c r="F11" s="61"/>
      <c r="G11" s="61"/>
      <c r="H11" s="61"/>
      <c r="I11" s="61"/>
      <c r="J11" s="61"/>
      <c r="K11" s="60"/>
    </row>
    <row r="12" spans="1:12" x14ac:dyDescent="0.2">
      <c r="G12" s="11"/>
      <c r="H12" s="11"/>
      <c r="I12" s="11"/>
      <c r="J12" s="11"/>
    </row>
    <row r="13" spans="1:12" x14ac:dyDescent="0.2">
      <c r="A13" s="1" t="s">
        <v>2</v>
      </c>
      <c r="B13" s="1" t="s">
        <v>5</v>
      </c>
      <c r="C13" s="69" t="s">
        <v>43</v>
      </c>
      <c r="D13" s="70" t="s">
        <v>11</v>
      </c>
      <c r="E13" s="70" t="s">
        <v>17</v>
      </c>
      <c r="F13" s="11">
        <v>4.82262704E-2</v>
      </c>
      <c r="G13" s="11">
        <v>1.5340365000000001E-3</v>
      </c>
      <c r="H13" s="11">
        <v>0.33844678810000001</v>
      </c>
      <c r="I13" s="11">
        <v>0.55116861910000003</v>
      </c>
      <c r="J13" s="11">
        <v>0.4966675035</v>
      </c>
      <c r="K13" s="76" t="s">
        <v>18</v>
      </c>
    </row>
    <row r="14" spans="1:12" x14ac:dyDescent="0.2">
      <c r="A14" s="1" t="s">
        <v>3</v>
      </c>
      <c r="B14" s="1" t="s">
        <v>6</v>
      </c>
      <c r="C14" s="69"/>
      <c r="D14" s="70"/>
      <c r="E14" s="70"/>
      <c r="F14" s="11">
        <v>2.876318E-4</v>
      </c>
      <c r="G14" s="11">
        <v>2.5886864999999999E-3</v>
      </c>
      <c r="H14" s="11">
        <v>0.25503355700000002</v>
      </c>
      <c r="I14" s="11">
        <v>0.48627450519999998</v>
      </c>
      <c r="J14" s="11">
        <v>0.48225264400000001</v>
      </c>
      <c r="K14" s="76"/>
    </row>
    <row r="15" spans="1:12" x14ac:dyDescent="0.2">
      <c r="A15" s="1" t="s">
        <v>4</v>
      </c>
      <c r="B15" s="1" t="s">
        <v>7</v>
      </c>
      <c r="C15" s="69"/>
      <c r="D15" s="70"/>
      <c r="E15" s="70"/>
      <c r="F15" s="11">
        <v>6.7114089999999996E-4</v>
      </c>
      <c r="G15" s="11">
        <v>9.5877280000000004E-4</v>
      </c>
      <c r="H15" s="11">
        <v>0.17948226270000001</v>
      </c>
      <c r="I15" s="11">
        <v>0.47313867139999999</v>
      </c>
      <c r="J15" s="11">
        <v>0.43776818420000002</v>
      </c>
      <c r="K15" s="76"/>
    </row>
    <row r="16" spans="1:12" x14ac:dyDescent="0.2">
      <c r="G16" s="11"/>
      <c r="H16" s="11"/>
      <c r="I16" s="11"/>
      <c r="J16" s="11"/>
    </row>
    <row r="17" spans="1:11" x14ac:dyDescent="0.2">
      <c r="A17" s="1" t="s">
        <v>2</v>
      </c>
      <c r="B17" s="1" t="s">
        <v>5</v>
      </c>
      <c r="C17" s="69" t="s">
        <v>44</v>
      </c>
      <c r="D17" s="70" t="s">
        <v>19</v>
      </c>
      <c r="E17" s="70" t="s">
        <v>27</v>
      </c>
      <c r="F17" s="11">
        <v>3.4036433400000003E-2</v>
      </c>
      <c r="G17" s="11">
        <v>1.8120805300000001E-2</v>
      </c>
      <c r="H17" s="11">
        <v>0.37296260790000002</v>
      </c>
      <c r="I17" s="11">
        <v>0.82428061320000001</v>
      </c>
      <c r="J17" s="11">
        <v>0.44130707470000002</v>
      </c>
      <c r="K17" s="76" t="s">
        <v>36</v>
      </c>
    </row>
    <row r="18" spans="1:11" x14ac:dyDescent="0.2">
      <c r="A18" s="1" t="s">
        <v>3</v>
      </c>
      <c r="B18" s="1" t="s">
        <v>6</v>
      </c>
      <c r="C18" s="69"/>
      <c r="D18" s="70"/>
      <c r="E18" s="70"/>
      <c r="F18" s="11">
        <v>7.7660593999999998E-3</v>
      </c>
      <c r="G18" s="11">
        <v>5.0814956999999999E-3</v>
      </c>
      <c r="H18" s="11">
        <v>0.36222435279999998</v>
      </c>
      <c r="I18" s="11">
        <v>0.64209529909999996</v>
      </c>
      <c r="J18" s="11">
        <v>0.46778393010000002</v>
      </c>
      <c r="K18" s="76"/>
    </row>
    <row r="19" spans="1:11" x14ac:dyDescent="0.2">
      <c r="A19" s="1" t="s">
        <v>4</v>
      </c>
      <c r="B19" s="1" t="s">
        <v>7</v>
      </c>
      <c r="C19" s="69"/>
      <c r="D19" s="70"/>
      <c r="E19" s="70"/>
      <c r="F19" s="11">
        <v>2.876318E-4</v>
      </c>
      <c r="G19" s="11">
        <v>9.5877281E-4</v>
      </c>
      <c r="H19" s="11">
        <v>1</v>
      </c>
      <c r="I19" s="11">
        <v>0.50192787270000006</v>
      </c>
      <c r="J19" s="11">
        <v>0.46815617929999997</v>
      </c>
      <c r="K19" s="76"/>
    </row>
    <row r="20" spans="1:11" x14ac:dyDescent="0.2">
      <c r="G20" s="11"/>
      <c r="H20" s="11"/>
      <c r="I20" s="11"/>
      <c r="J20" s="11"/>
    </row>
    <row r="21" spans="1:11" x14ac:dyDescent="0.2">
      <c r="A21" s="1" t="s">
        <v>2</v>
      </c>
      <c r="B21" s="1" t="s">
        <v>5</v>
      </c>
      <c r="C21" s="69" t="s">
        <v>45</v>
      </c>
      <c r="D21" s="70" t="s">
        <v>20</v>
      </c>
      <c r="E21" s="70" t="s">
        <v>28</v>
      </c>
      <c r="F21" s="11">
        <v>5.7238734399999998E-2</v>
      </c>
      <c r="G21" s="11">
        <v>1.3422817999999999E-3</v>
      </c>
      <c r="H21" s="11">
        <v>0.3856184084</v>
      </c>
      <c r="I21" s="11">
        <v>0.84574131559999999</v>
      </c>
      <c r="J21" s="11">
        <v>0.4434595543</v>
      </c>
      <c r="K21" s="76" t="s">
        <v>35</v>
      </c>
    </row>
    <row r="22" spans="1:11" x14ac:dyDescent="0.2">
      <c r="A22" s="1" t="s">
        <v>3</v>
      </c>
      <c r="B22" s="1" t="s">
        <v>6</v>
      </c>
      <c r="C22" s="69"/>
      <c r="D22" s="70"/>
      <c r="E22" s="70"/>
      <c r="F22" s="11">
        <v>5.11025887E-2</v>
      </c>
      <c r="G22" s="11">
        <v>8.6289548999999993E-3</v>
      </c>
      <c r="H22" s="11">
        <v>0.38446788110000002</v>
      </c>
      <c r="I22" s="11">
        <v>0.70028981489999997</v>
      </c>
      <c r="J22" s="11">
        <v>0.46092753450000001</v>
      </c>
      <c r="K22" s="76"/>
    </row>
    <row r="23" spans="1:11" x14ac:dyDescent="0.2">
      <c r="A23" s="1" t="s">
        <v>4</v>
      </c>
      <c r="B23" s="1" t="s">
        <v>7</v>
      </c>
      <c r="C23" s="69"/>
      <c r="D23" s="70"/>
      <c r="E23" s="70"/>
      <c r="F23" s="11">
        <v>0</v>
      </c>
      <c r="G23" s="11">
        <v>1.2464046E-3</v>
      </c>
      <c r="H23" s="11">
        <v>0.1394055609</v>
      </c>
      <c r="I23" s="11">
        <v>0.50123826859999998</v>
      </c>
      <c r="J23" s="11">
        <v>0.4740446935</v>
      </c>
      <c r="K23" s="76"/>
    </row>
    <row r="24" spans="1:11" x14ac:dyDescent="0.2">
      <c r="G24" s="11"/>
      <c r="H24" s="11"/>
      <c r="I24" s="11"/>
      <c r="J24" s="11"/>
    </row>
    <row r="25" spans="1:11" x14ac:dyDescent="0.2">
      <c r="A25" s="1" t="s">
        <v>2</v>
      </c>
      <c r="B25" s="1" t="s">
        <v>5</v>
      </c>
      <c r="C25" s="69" t="s">
        <v>46</v>
      </c>
      <c r="D25" s="70" t="s">
        <v>21</v>
      </c>
      <c r="E25" s="70" t="s">
        <v>32</v>
      </c>
      <c r="F25" s="11">
        <v>2.3585810200000001E-2</v>
      </c>
      <c r="G25" s="11">
        <v>3.8350911000000001E-3</v>
      </c>
      <c r="H25" s="11">
        <v>0.44256951100000003</v>
      </c>
      <c r="I25" s="11">
        <v>0.78002278650000001</v>
      </c>
      <c r="J25" s="11">
        <v>0.43125917699999999</v>
      </c>
    </row>
    <row r="26" spans="1:11" x14ac:dyDescent="0.2">
      <c r="A26" s="1" t="s">
        <v>3</v>
      </c>
      <c r="B26" s="1" t="s">
        <v>6</v>
      </c>
      <c r="C26" s="69"/>
      <c r="D26" s="70"/>
      <c r="E26" s="70"/>
      <c r="F26" s="11">
        <v>3.0584851400000002E-2</v>
      </c>
      <c r="G26" s="11">
        <v>2.6845636999999999E-3</v>
      </c>
      <c r="H26" s="11">
        <v>0.4122722915</v>
      </c>
      <c r="I26" s="11">
        <v>0.77689365480000006</v>
      </c>
      <c r="J26" s="11">
        <v>0.44582553250000001</v>
      </c>
    </row>
    <row r="27" spans="1:11" x14ac:dyDescent="0.2">
      <c r="A27" s="1" t="s">
        <v>4</v>
      </c>
      <c r="B27" s="1" t="s">
        <v>7</v>
      </c>
      <c r="C27" s="69"/>
      <c r="D27" s="70"/>
      <c r="E27" s="70"/>
      <c r="F27" s="11">
        <v>6.7114089999999996E-4</v>
      </c>
      <c r="G27" s="11">
        <v>1.5340364E-3</v>
      </c>
      <c r="H27" s="11">
        <v>0.14400767019999999</v>
      </c>
      <c r="I27" s="11">
        <v>0.48521459810000001</v>
      </c>
      <c r="J27" s="11">
        <v>0.46724980519999998</v>
      </c>
    </row>
    <row r="28" spans="1:11" x14ac:dyDescent="0.2">
      <c r="G28" s="11"/>
      <c r="H28" s="11"/>
      <c r="I28" s="11"/>
      <c r="J28" s="11"/>
    </row>
    <row r="29" spans="1:11" x14ac:dyDescent="0.2">
      <c r="A29" s="1" t="s">
        <v>2</v>
      </c>
      <c r="B29" s="1" t="s">
        <v>5</v>
      </c>
      <c r="C29" s="69" t="s">
        <v>47</v>
      </c>
      <c r="D29" s="70" t="s">
        <v>22</v>
      </c>
      <c r="E29" s="70" t="s">
        <v>33</v>
      </c>
      <c r="F29" s="11">
        <v>3.2885905999999999E-2</v>
      </c>
      <c r="G29" s="11">
        <v>6.2320229999999997E-3</v>
      </c>
      <c r="H29" s="11">
        <v>0.50393096839999996</v>
      </c>
      <c r="I29" s="11">
        <v>0.77736178700000003</v>
      </c>
      <c r="J29" s="11">
        <v>0.43943819899999997</v>
      </c>
    </row>
    <row r="30" spans="1:11" x14ac:dyDescent="0.2">
      <c r="A30" s="1" t="s">
        <v>3</v>
      </c>
      <c r="B30" s="1" t="s">
        <v>6</v>
      </c>
      <c r="C30" s="69"/>
      <c r="D30" s="70"/>
      <c r="E30" s="70"/>
      <c r="F30" s="11">
        <v>1.42857143E-2</v>
      </c>
      <c r="G30" s="11">
        <v>6.5196548E-3</v>
      </c>
      <c r="H30" s="11">
        <v>0.41303930970000002</v>
      </c>
      <c r="I30" s="11">
        <v>0.6898911875</v>
      </c>
      <c r="J30" s="11">
        <v>0.46205572309999998</v>
      </c>
    </row>
    <row r="31" spans="1:11" x14ac:dyDescent="0.2">
      <c r="A31" s="1" t="s">
        <v>4</v>
      </c>
      <c r="B31" s="1" t="s">
        <v>7</v>
      </c>
      <c r="C31" s="69"/>
      <c r="D31" s="70"/>
      <c r="E31" s="70"/>
      <c r="F31" s="11">
        <v>3.8350910000000001E-4</v>
      </c>
      <c r="G31" s="11">
        <v>1.4381591999999999E-3</v>
      </c>
      <c r="H31" s="11">
        <v>9.7794822599999998E-2</v>
      </c>
      <c r="I31" s="11">
        <v>0.45026455949999999</v>
      </c>
      <c r="J31" s="11">
        <v>0.46414172419999999</v>
      </c>
    </row>
    <row r="32" spans="1:11" x14ac:dyDescent="0.2">
      <c r="G32" s="11"/>
      <c r="H32" s="11"/>
      <c r="I32" s="11"/>
      <c r="J32" s="11"/>
    </row>
    <row r="33" spans="1:11" x14ac:dyDescent="0.2">
      <c r="A33" s="1" t="s">
        <v>2</v>
      </c>
      <c r="B33" s="1" t="s">
        <v>5</v>
      </c>
      <c r="C33" s="69" t="s">
        <v>48</v>
      </c>
      <c r="D33" s="70" t="s">
        <v>23</v>
      </c>
      <c r="E33" s="70" t="s">
        <v>29</v>
      </c>
      <c r="F33" s="11">
        <v>5.7529773300000003E-2</v>
      </c>
      <c r="G33" s="11">
        <v>6.7230119E-3</v>
      </c>
      <c r="H33" s="11">
        <v>0.33499807910000001</v>
      </c>
      <c r="I33" s="11">
        <v>0.89029599260000003</v>
      </c>
      <c r="J33" s="11">
        <v>0.39083109230000002</v>
      </c>
    </row>
    <row r="34" spans="1:11" x14ac:dyDescent="0.2">
      <c r="A34" s="1" t="s">
        <v>3</v>
      </c>
      <c r="B34" s="1" t="s">
        <v>6</v>
      </c>
      <c r="C34" s="69"/>
      <c r="D34" s="70"/>
      <c r="E34" s="70"/>
      <c r="F34" s="11">
        <v>6.9727237799999994E-2</v>
      </c>
      <c r="G34" s="11">
        <v>8.6438724000000005E-3</v>
      </c>
      <c r="H34" s="11">
        <v>0.34959661930000002</v>
      </c>
      <c r="I34" s="11">
        <v>0.87258270429999996</v>
      </c>
      <c r="J34" s="11">
        <v>0.37624693279999999</v>
      </c>
    </row>
    <row r="35" spans="1:11" x14ac:dyDescent="0.2">
      <c r="A35" s="1" t="s">
        <v>4</v>
      </c>
      <c r="B35" s="1" t="s">
        <v>7</v>
      </c>
      <c r="C35" s="69"/>
      <c r="D35" s="70"/>
      <c r="E35" s="70"/>
      <c r="F35" s="11">
        <v>2.8812910000000001E-4</v>
      </c>
      <c r="G35" s="11">
        <v>1.5366883999999999E-3</v>
      </c>
      <c r="H35" s="11">
        <v>0.25201690360000001</v>
      </c>
      <c r="I35" s="11">
        <v>0.47203997120000002</v>
      </c>
      <c r="J35" s="11">
        <v>0.4837691543</v>
      </c>
    </row>
    <row r="36" spans="1:11" x14ac:dyDescent="0.2">
      <c r="G36" s="11"/>
      <c r="H36" s="11"/>
      <c r="I36" s="11"/>
      <c r="J36" s="11"/>
    </row>
    <row r="37" spans="1:11" x14ac:dyDescent="0.2">
      <c r="A37" s="1" t="s">
        <v>2</v>
      </c>
      <c r="B37" s="1" t="s">
        <v>5</v>
      </c>
      <c r="C37" s="69" t="s">
        <v>49</v>
      </c>
      <c r="D37" s="70" t="s">
        <v>24</v>
      </c>
      <c r="E37" s="70" t="s">
        <v>34</v>
      </c>
      <c r="F37" s="11">
        <v>4.46788111E-2</v>
      </c>
      <c r="G37" s="11">
        <v>6.0402685000000003E-3</v>
      </c>
      <c r="H37" s="11">
        <v>0.47727708530000001</v>
      </c>
      <c r="I37" s="11">
        <v>0.81084688910000002</v>
      </c>
      <c r="J37" s="11">
        <v>0.41388874180000002</v>
      </c>
    </row>
    <row r="38" spans="1:11" x14ac:dyDescent="0.2">
      <c r="A38" s="1" t="s">
        <v>3</v>
      </c>
      <c r="B38" s="1" t="s">
        <v>6</v>
      </c>
      <c r="C38" s="69"/>
      <c r="D38" s="70"/>
      <c r="E38" s="70"/>
      <c r="F38" s="11">
        <v>1.4189837E-2</v>
      </c>
      <c r="G38" s="11">
        <v>1.9367209900000001E-2</v>
      </c>
      <c r="H38" s="11">
        <v>0.42243528279999998</v>
      </c>
      <c r="I38" s="11">
        <v>0.80852306610000002</v>
      </c>
      <c r="J38" s="11">
        <v>0.38425564280000002</v>
      </c>
    </row>
    <row r="39" spans="1:11" x14ac:dyDescent="0.2">
      <c r="A39" s="1" t="s">
        <v>4</v>
      </c>
      <c r="B39" s="1" t="s">
        <v>7</v>
      </c>
      <c r="C39" s="69"/>
      <c r="D39" s="70"/>
      <c r="E39" s="70"/>
      <c r="F39" s="11">
        <v>2.876318E-4</v>
      </c>
      <c r="G39" s="11">
        <v>1.4381591999999999E-3</v>
      </c>
      <c r="H39" s="11">
        <v>9.8945350000000001E-2</v>
      </c>
      <c r="I39" s="11">
        <v>0.45479480760000002</v>
      </c>
      <c r="J39" s="11">
        <v>0.47442714809999997</v>
      </c>
    </row>
    <row r="40" spans="1:11" x14ac:dyDescent="0.2">
      <c r="G40" s="11"/>
      <c r="H40" s="11"/>
      <c r="I40" s="11"/>
      <c r="J40" s="11"/>
    </row>
    <row r="41" spans="1:11" s="59" customFormat="1" x14ac:dyDescent="0.2">
      <c r="A41" s="71" t="s">
        <v>38</v>
      </c>
      <c r="B41" s="71"/>
      <c r="C41" s="71"/>
      <c r="D41" s="71"/>
      <c r="E41" s="60"/>
      <c r="F41" s="61"/>
      <c r="G41" s="61"/>
      <c r="H41" s="61"/>
      <c r="I41" s="61"/>
      <c r="J41" s="61"/>
      <c r="K41" s="60"/>
    </row>
    <row r="42" spans="1:11" x14ac:dyDescent="0.2">
      <c r="G42" s="11"/>
      <c r="H42" s="11"/>
      <c r="I42" s="11"/>
      <c r="J42" s="11"/>
    </row>
    <row r="43" spans="1:11" x14ac:dyDescent="0.2">
      <c r="A43" s="1" t="s">
        <v>2</v>
      </c>
      <c r="B43" s="1" t="s">
        <v>5</v>
      </c>
      <c r="C43" s="69" t="s">
        <v>50</v>
      </c>
      <c r="D43" s="70" t="s">
        <v>25</v>
      </c>
      <c r="E43" s="70" t="s">
        <v>27</v>
      </c>
      <c r="F43" s="11">
        <v>1.7244682899999999E-2</v>
      </c>
      <c r="G43" s="11">
        <v>5.1734049000000002E-3</v>
      </c>
      <c r="H43" s="11">
        <v>0.35198313850000001</v>
      </c>
      <c r="I43" s="11">
        <v>0.70341981239999996</v>
      </c>
      <c r="J43" s="11">
        <v>0.4587482034</v>
      </c>
      <c r="K43" s="76" t="s">
        <v>30</v>
      </c>
    </row>
    <row r="44" spans="1:11" x14ac:dyDescent="0.2">
      <c r="A44" s="1" t="s">
        <v>3</v>
      </c>
      <c r="B44" s="1" t="s">
        <v>6</v>
      </c>
      <c r="C44" s="69"/>
      <c r="D44" s="70"/>
      <c r="E44" s="70"/>
      <c r="F44" s="11">
        <v>1.34125311E-2</v>
      </c>
      <c r="G44" s="11">
        <v>2.0118796E-3</v>
      </c>
      <c r="H44" s="11">
        <v>0.41138149070000002</v>
      </c>
      <c r="I44" s="11">
        <v>0.6688536155</v>
      </c>
      <c r="J44" s="11">
        <v>0.46907909489999999</v>
      </c>
      <c r="K44" s="76"/>
    </row>
    <row r="45" spans="1:11" x14ac:dyDescent="0.2">
      <c r="A45" s="1" t="s">
        <v>4</v>
      </c>
      <c r="B45" s="1" t="s">
        <v>7</v>
      </c>
      <c r="C45" s="69"/>
      <c r="D45" s="70"/>
      <c r="E45" s="70"/>
      <c r="F45" s="11">
        <v>8.6223409999999995E-4</v>
      </c>
      <c r="G45" s="11">
        <v>2.5867024999999999E-3</v>
      </c>
      <c r="H45" s="11">
        <v>0.4631155394</v>
      </c>
      <c r="I45" s="11">
        <v>0.50944027609999998</v>
      </c>
      <c r="J45" s="11">
        <v>0.49390839069999998</v>
      </c>
      <c r="K45" s="76"/>
    </row>
    <row r="46" spans="1:11" x14ac:dyDescent="0.2">
      <c r="G46" s="11"/>
      <c r="H46" s="11"/>
      <c r="I46" s="11"/>
      <c r="J46" s="11"/>
    </row>
    <row r="47" spans="1:11" x14ac:dyDescent="0.2">
      <c r="A47" s="1" t="s">
        <v>2</v>
      </c>
      <c r="B47" s="1" t="s">
        <v>5</v>
      </c>
      <c r="C47" s="69" t="s">
        <v>51</v>
      </c>
      <c r="D47" s="70" t="s">
        <v>26</v>
      </c>
      <c r="E47" s="70" t="s">
        <v>28</v>
      </c>
      <c r="F47" s="11">
        <v>2.6920866099999999E-2</v>
      </c>
      <c r="G47" s="11">
        <v>3.5447403999999999E-3</v>
      </c>
      <c r="H47" s="11">
        <v>0.28434566010000001</v>
      </c>
      <c r="I47" s="11">
        <v>0.75841570290000004</v>
      </c>
      <c r="J47" s="11">
        <v>0.45388746419999998</v>
      </c>
      <c r="K47" s="76" t="s">
        <v>31</v>
      </c>
    </row>
    <row r="48" spans="1:11" x14ac:dyDescent="0.2">
      <c r="A48" s="1" t="s">
        <v>3</v>
      </c>
      <c r="B48" s="1" t="s">
        <v>6</v>
      </c>
      <c r="C48" s="69"/>
      <c r="D48" s="70"/>
      <c r="E48" s="70"/>
      <c r="F48" s="11">
        <v>4.3303314799999999E-2</v>
      </c>
      <c r="G48" s="11">
        <v>5.7482276000000001E-3</v>
      </c>
      <c r="H48" s="11">
        <v>0.38800536499999999</v>
      </c>
      <c r="I48" s="11">
        <v>0.75218841530000002</v>
      </c>
      <c r="J48" s="11">
        <v>0.45908136910000003</v>
      </c>
      <c r="K48" s="76"/>
    </row>
    <row r="49" spans="1:11" x14ac:dyDescent="0.2">
      <c r="A49" s="1" t="s">
        <v>4</v>
      </c>
      <c r="B49" s="1" t="s">
        <v>7</v>
      </c>
      <c r="C49" s="69"/>
      <c r="D49" s="70"/>
      <c r="E49" s="70"/>
      <c r="F49" s="11">
        <v>9.5803800000000006E-5</v>
      </c>
      <c r="G49" s="11">
        <v>1.8202721E-3</v>
      </c>
      <c r="H49" s="11">
        <v>0.99980839239999997</v>
      </c>
      <c r="I49" s="11">
        <v>0.48246797149999998</v>
      </c>
      <c r="J49" s="11">
        <v>0.478579698</v>
      </c>
      <c r="K49" s="76"/>
    </row>
    <row r="50" spans="1:11" x14ac:dyDescent="0.2">
      <c r="G50" s="11"/>
      <c r="H50" s="11"/>
      <c r="I50" s="11"/>
      <c r="J50" s="11"/>
    </row>
    <row r="51" spans="1:11" x14ac:dyDescent="0.2">
      <c r="A51" s="1" t="s">
        <v>2</v>
      </c>
      <c r="B51" s="1" t="s">
        <v>5</v>
      </c>
      <c r="C51" s="69" t="s">
        <v>52</v>
      </c>
      <c r="D51" s="70" t="s">
        <v>39</v>
      </c>
      <c r="E51" s="70" t="s">
        <v>29</v>
      </c>
      <c r="F51" s="11">
        <v>3.1423644399999999E-2</v>
      </c>
      <c r="G51" s="11">
        <v>4.5027783000000004E-3</v>
      </c>
      <c r="H51" s="11">
        <v>0.31423644379999999</v>
      </c>
      <c r="I51" s="11">
        <v>0.87912838900000001</v>
      </c>
      <c r="J51" s="11">
        <v>0.37861748220000002</v>
      </c>
    </row>
    <row r="52" spans="1:11" x14ac:dyDescent="0.2">
      <c r="A52" s="1" t="s">
        <v>3</v>
      </c>
      <c r="B52" s="1" t="s">
        <v>6</v>
      </c>
      <c r="C52" s="69"/>
      <c r="D52" s="70"/>
      <c r="E52" s="70"/>
      <c r="F52" s="11">
        <v>8.8139489999999997E-3</v>
      </c>
      <c r="G52" s="11">
        <v>2.3950948999999998E-3</v>
      </c>
      <c r="H52" s="11">
        <v>0.36865299870000001</v>
      </c>
      <c r="I52" s="11">
        <v>0.73505614159999999</v>
      </c>
      <c r="J52" s="11">
        <v>0.438803202</v>
      </c>
    </row>
    <row r="53" spans="1:11" x14ac:dyDescent="0.2">
      <c r="A53" s="1" t="s">
        <v>4</v>
      </c>
      <c r="B53" s="1" t="s">
        <v>7</v>
      </c>
      <c r="C53" s="69"/>
      <c r="D53" s="70"/>
      <c r="E53" s="70"/>
      <c r="F53" s="11">
        <v>1.9160760000000001E-4</v>
      </c>
      <c r="G53" s="11">
        <v>1.9160759E-3</v>
      </c>
      <c r="H53" s="11">
        <v>4.4261352699999999E-2</v>
      </c>
      <c r="I53" s="11">
        <v>0.4812790361</v>
      </c>
      <c r="J53" s="11">
        <v>0.47962761110000002</v>
      </c>
    </row>
    <row r="54" spans="1:11" x14ac:dyDescent="0.2">
      <c r="G54" s="11"/>
      <c r="H54" s="11"/>
      <c r="I54" s="11"/>
      <c r="J54" s="11"/>
    </row>
    <row r="55" spans="1:11" x14ac:dyDescent="0.2">
      <c r="G55" s="11"/>
      <c r="H55" s="11"/>
      <c r="I55" s="11"/>
      <c r="J55" s="11"/>
    </row>
    <row r="56" spans="1:11" s="42" customFormat="1" x14ac:dyDescent="0.2">
      <c r="A56" s="68" t="s">
        <v>59</v>
      </c>
      <c r="B56" s="68"/>
      <c r="C56" s="68"/>
      <c r="D56" s="68"/>
      <c r="E56" s="39"/>
      <c r="F56" s="40">
        <f>MAX(F3:F53)</f>
        <v>7.4400767000000007E-2</v>
      </c>
      <c r="G56" s="40">
        <f>MAX(G3:G53)</f>
        <v>1.9367209900000001E-2</v>
      </c>
      <c r="H56" s="40">
        <f>MAX(H3:H53)</f>
        <v>1</v>
      </c>
      <c r="I56" s="40">
        <f>MAX(I3:I53)</f>
        <v>0.89029599260000003</v>
      </c>
      <c r="J56" s="40">
        <f>MAX(J3:J53)</f>
        <v>0.50993042769999997</v>
      </c>
      <c r="K56" s="41"/>
    </row>
    <row r="57" spans="1:11" s="46" customFormat="1" x14ac:dyDescent="0.2">
      <c r="A57" s="74" t="s">
        <v>60</v>
      </c>
      <c r="B57" s="74"/>
      <c r="C57" s="74"/>
      <c r="D57" s="74"/>
      <c r="E57" s="43"/>
      <c r="F57" s="44">
        <f>AVERAGE(F3:F53)</f>
        <v>2.2625756961111115E-2</v>
      </c>
      <c r="G57" s="44">
        <f>AVERAGE(G3:G53)</f>
        <v>4.1386779447222218E-3</v>
      </c>
      <c r="H57" s="44">
        <f>AVERAGE(H3:H53)</f>
        <v>0.36452921899722224</v>
      </c>
      <c r="I57" s="44">
        <f>AVERAGE(I3:I53)</f>
        <v>0.63549272388055567</v>
      </c>
      <c r="J57" s="44">
        <f>AVERAGE(J3:J53)</f>
        <v>0.45735612999444442</v>
      </c>
      <c r="K57" s="45"/>
    </row>
  </sheetData>
  <mergeCells count="48">
    <mergeCell ref="A1:XFD1"/>
    <mergeCell ref="A57:D57"/>
    <mergeCell ref="A11:D11"/>
    <mergeCell ref="C13:C15"/>
    <mergeCell ref="D13:D15"/>
    <mergeCell ref="E13:E15"/>
    <mergeCell ref="C25:C27"/>
    <mergeCell ref="D25:D27"/>
    <mergeCell ref="E25:E27"/>
    <mergeCell ref="C29:C31"/>
    <mergeCell ref="D29:D31"/>
    <mergeCell ref="E29:E31"/>
    <mergeCell ref="C33:C35"/>
    <mergeCell ref="D33:D35"/>
    <mergeCell ref="E33:E35"/>
    <mergeCell ref="C51:C53"/>
    <mergeCell ref="D51:D53"/>
    <mergeCell ref="C3:C5"/>
    <mergeCell ref="D3:D5"/>
    <mergeCell ref="E3:E5"/>
    <mergeCell ref="K3:K5"/>
    <mergeCell ref="C7:C9"/>
    <mergeCell ref="D7:D9"/>
    <mergeCell ref="E7:E9"/>
    <mergeCell ref="K7:K9"/>
    <mergeCell ref="K13:K15"/>
    <mergeCell ref="C21:C23"/>
    <mergeCell ref="D21:D23"/>
    <mergeCell ref="E21:E23"/>
    <mergeCell ref="K21:K23"/>
    <mergeCell ref="C17:C19"/>
    <mergeCell ref="D17:D19"/>
    <mergeCell ref="E17:E19"/>
    <mergeCell ref="K17:K19"/>
    <mergeCell ref="C37:C39"/>
    <mergeCell ref="D37:D39"/>
    <mergeCell ref="E37:E39"/>
    <mergeCell ref="A41:D41"/>
    <mergeCell ref="C43:C45"/>
    <mergeCell ref="D43:D45"/>
    <mergeCell ref="E43:E45"/>
    <mergeCell ref="A56:D56"/>
    <mergeCell ref="K43:K45"/>
    <mergeCell ref="C47:C49"/>
    <mergeCell ref="D47:D49"/>
    <mergeCell ref="E47:E49"/>
    <mergeCell ref="K47:K49"/>
    <mergeCell ref="E51:E53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6E9C-6A0D-1745-934A-9CD3EA122E2E}">
  <dimension ref="A1:O65"/>
  <sheetViews>
    <sheetView zoomScaleNormal="100" workbookViewId="0">
      <pane ySplit="2" topLeftCell="A3" activePane="bottomLeft" state="frozen"/>
      <selection pane="bottomLeft" sqref="A1:XFD1"/>
    </sheetView>
  </sheetViews>
  <sheetFormatPr baseColWidth="10" defaultColWidth="51.33203125" defaultRowHeight="21" x14ac:dyDescent="0.2"/>
  <cols>
    <col min="1" max="1" width="26.1640625" style="1" customWidth="1"/>
    <col min="2" max="2" width="17.6640625" style="1" customWidth="1"/>
    <col min="3" max="3" width="34.5" style="1" customWidth="1"/>
    <col min="4" max="4" width="50.33203125" style="4" customWidth="1"/>
    <col min="5" max="5" width="50" style="4" customWidth="1"/>
    <col min="6" max="6" width="24" style="11" customWidth="1"/>
    <col min="7" max="7" width="23.1640625" style="11" customWidth="1"/>
    <col min="8" max="8" width="27.5" style="11" customWidth="1"/>
    <col min="9" max="9" width="27.33203125" style="11" customWidth="1"/>
    <col min="10" max="10" width="31.33203125" style="11" customWidth="1"/>
    <col min="11" max="11" width="30.83203125" style="11" bestFit="1" customWidth="1"/>
    <col min="12" max="12" width="31.33203125" style="11" customWidth="1"/>
    <col min="13" max="13" width="28.1640625" style="11" bestFit="1" customWidth="1"/>
    <col min="14" max="14" width="50.83203125" style="3" customWidth="1"/>
    <col min="15" max="16384" width="51.33203125" style="1"/>
  </cols>
  <sheetData>
    <row r="1" spans="1:15" s="89" customFormat="1" ht="27" thickBot="1" x14ac:dyDescent="0.25">
      <c r="A1" s="89" t="s">
        <v>117</v>
      </c>
    </row>
    <row r="2" spans="1:15" s="6" customFormat="1" ht="66" x14ac:dyDescent="0.2">
      <c r="A2" s="6" t="s">
        <v>0</v>
      </c>
      <c r="B2" s="6" t="s">
        <v>1</v>
      </c>
      <c r="C2" s="7" t="s">
        <v>40</v>
      </c>
      <c r="D2" s="7" t="s">
        <v>9</v>
      </c>
      <c r="E2" s="7" t="s">
        <v>12</v>
      </c>
      <c r="F2" s="12" t="s">
        <v>53</v>
      </c>
      <c r="G2" s="12" t="s">
        <v>54</v>
      </c>
      <c r="H2" s="12" t="s">
        <v>55</v>
      </c>
      <c r="I2" s="12" t="s">
        <v>56</v>
      </c>
      <c r="J2" s="12" t="s">
        <v>57</v>
      </c>
      <c r="K2" s="12" t="s">
        <v>61</v>
      </c>
      <c r="L2" s="12" t="s">
        <v>62</v>
      </c>
      <c r="M2" s="12" t="s">
        <v>63</v>
      </c>
      <c r="N2" s="7" t="s">
        <v>14</v>
      </c>
      <c r="O2" s="7"/>
    </row>
    <row r="3" spans="1:15" x14ac:dyDescent="0.2">
      <c r="A3" s="1" t="s">
        <v>2</v>
      </c>
      <c r="B3" s="1" t="s">
        <v>5</v>
      </c>
      <c r="C3" s="73" t="s">
        <v>41</v>
      </c>
      <c r="D3" s="72" t="s">
        <v>8</v>
      </c>
      <c r="E3" s="72" t="s">
        <v>13</v>
      </c>
      <c r="F3" s="11">
        <v>7.94822627E-2</v>
      </c>
      <c r="G3" s="11">
        <v>2.7804410999999998E-3</v>
      </c>
      <c r="H3" s="11">
        <v>0.30028763180000001</v>
      </c>
      <c r="I3" s="11">
        <v>0.61040879550000005</v>
      </c>
      <c r="J3" s="11">
        <v>0.46355931169999998</v>
      </c>
      <c r="K3" s="11">
        <f>SUM(F3*1/3,G3*1/3,I3*1/3)</f>
        <v>0.23089049976666667</v>
      </c>
      <c r="L3" s="11">
        <f>SUM(H3*1/2,J3*1/2)</f>
        <v>0.38192347174999997</v>
      </c>
      <c r="M3" s="11">
        <f>SUM(F3*1/5,G3*1/5,H3*1/5,I3*1/5,J3*1/5)</f>
        <v>0.29130368856</v>
      </c>
      <c r="N3" s="75" t="s">
        <v>15</v>
      </c>
    </row>
    <row r="4" spans="1:15" x14ac:dyDescent="0.2">
      <c r="A4" s="1" t="s">
        <v>3</v>
      </c>
      <c r="B4" s="1" t="s">
        <v>6</v>
      </c>
      <c r="C4" s="69"/>
      <c r="D4" s="70"/>
      <c r="E4" s="70"/>
      <c r="F4" s="11">
        <v>2.3969319E-3</v>
      </c>
      <c r="G4" s="11">
        <v>1.8216682999999999E-3</v>
      </c>
      <c r="H4" s="11">
        <v>0.32809204219999999</v>
      </c>
      <c r="I4" s="11">
        <v>0.49360722829999998</v>
      </c>
      <c r="J4" s="11">
        <v>0.48535807889999999</v>
      </c>
      <c r="K4" s="11">
        <f>SUM(F4*1/3,G4*1/3,I4*1/3)</f>
        <v>0.16594194283333333</v>
      </c>
      <c r="L4" s="11">
        <f>SUM(H4*1/2,J4*1/2)</f>
        <v>0.40672506055000002</v>
      </c>
      <c r="M4" s="11">
        <f>SUM(F4*1/5,G4*1/5,H4*1/5,I4*1/5,J4*1/5)</f>
        <v>0.26225518991999996</v>
      </c>
      <c r="N4" s="76"/>
    </row>
    <row r="5" spans="1:15" x14ac:dyDescent="0.2">
      <c r="A5" s="1" t="s">
        <v>4</v>
      </c>
      <c r="B5" s="1" t="s">
        <v>7</v>
      </c>
      <c r="C5" s="69"/>
      <c r="D5" s="70"/>
      <c r="E5" s="70"/>
      <c r="F5" s="11">
        <v>6.5867689399999999E-2</v>
      </c>
      <c r="G5" s="11">
        <v>3.9309684000000001E-3</v>
      </c>
      <c r="H5" s="11">
        <v>0.2533077661</v>
      </c>
      <c r="I5" s="11">
        <v>0.69625611379999996</v>
      </c>
      <c r="J5" s="11">
        <v>0.43599219389999999</v>
      </c>
      <c r="K5" s="11">
        <f>SUM(F5*1/3,G5*1/3,I5*1/3)</f>
        <v>0.25535159053333334</v>
      </c>
      <c r="L5" s="11">
        <f>SUM(H5*1/2,J5*1/2)</f>
        <v>0.34464998000000002</v>
      </c>
      <c r="M5" s="11">
        <f>SUM(F5*1/5,G5*1/5,H5*1/5,I5*1/5,J5*1/5)</f>
        <v>0.29107094631999997</v>
      </c>
      <c r="N5" s="76"/>
    </row>
    <row r="7" spans="1:15" x14ac:dyDescent="0.2">
      <c r="A7" s="1" t="s">
        <v>2</v>
      </c>
      <c r="B7" s="1" t="s">
        <v>5</v>
      </c>
      <c r="C7" s="69" t="s">
        <v>42</v>
      </c>
      <c r="D7" s="70" t="s">
        <v>10</v>
      </c>
      <c r="E7" s="70" t="s">
        <v>13</v>
      </c>
      <c r="F7" s="11">
        <v>9.81988887E-2</v>
      </c>
      <c r="G7" s="11">
        <v>9.4845755999999996E-3</v>
      </c>
      <c r="H7" s="11">
        <v>0.25560452189999999</v>
      </c>
      <c r="I7" s="11">
        <v>0.68919924190000004</v>
      </c>
      <c r="J7" s="11">
        <v>0.41944522960000002</v>
      </c>
      <c r="K7" s="11">
        <f>SUM(F7*1/3,G7*1/3,I7*1/3)</f>
        <v>0.26562756873333332</v>
      </c>
      <c r="L7" s="11">
        <f>SUM(H7*1/2,J7*1/2)</f>
        <v>0.33752487575000001</v>
      </c>
      <c r="M7" s="11">
        <f>SUM(F7*1/5,G7*1/5,H7*1/5,I7*1/5,J7*1/5)</f>
        <v>0.29438649154000002</v>
      </c>
      <c r="N7" s="76" t="s">
        <v>16</v>
      </c>
    </row>
    <row r="8" spans="1:15" x14ac:dyDescent="0.2">
      <c r="A8" s="1" t="s">
        <v>3</v>
      </c>
      <c r="B8" s="1" t="s">
        <v>6</v>
      </c>
      <c r="C8" s="69"/>
      <c r="D8" s="70"/>
      <c r="E8" s="70"/>
      <c r="F8" s="11">
        <v>1.3604138700000001E-2</v>
      </c>
      <c r="G8" s="11">
        <v>2.77831E-3</v>
      </c>
      <c r="H8" s="11">
        <v>0.36673692279999998</v>
      </c>
      <c r="I8" s="11">
        <v>0.50241178500000006</v>
      </c>
      <c r="J8" s="11">
        <v>0.49342533859999999</v>
      </c>
      <c r="K8" s="11">
        <f>SUM(F8*1/3,G8*1/3,I8*1/3)</f>
        <v>0.17293141123333336</v>
      </c>
      <c r="L8" s="11">
        <f>SUM(H8*1/2,J8*1/2)</f>
        <v>0.43008113069999998</v>
      </c>
      <c r="M8" s="11">
        <f>SUM(F8*1/5,G8*1/5,H8*1/5,I8*1/5,J8*1/5)</f>
        <v>0.27579129901999999</v>
      </c>
      <c r="N8" s="76"/>
    </row>
    <row r="9" spans="1:15" x14ac:dyDescent="0.2">
      <c r="A9" s="1" t="s">
        <v>4</v>
      </c>
      <c r="B9" s="1" t="s">
        <v>7</v>
      </c>
      <c r="C9" s="69"/>
      <c r="D9" s="70"/>
      <c r="E9" s="70"/>
      <c r="F9" s="11">
        <v>3.8321517499999999E-2</v>
      </c>
      <c r="G9" s="11">
        <v>9.5803794000000001E-3</v>
      </c>
      <c r="H9" s="11">
        <v>0.2387430542</v>
      </c>
      <c r="I9" s="11">
        <v>0.59762281890000002</v>
      </c>
      <c r="J9" s="11">
        <v>0.47463989049999999</v>
      </c>
      <c r="K9" s="11">
        <f>SUM(F9*1/3,G9*1/3,I9*1/3)</f>
        <v>0.21517490526666666</v>
      </c>
      <c r="L9" s="11">
        <f>SUM(H9*1/2,J9*1/2)</f>
        <v>0.35669147234999998</v>
      </c>
      <c r="M9" s="11">
        <f>SUM(F9*1/5,G9*1/5,H9*1/5,I9*1/5,J9*1/5)</f>
        <v>0.2717815321</v>
      </c>
      <c r="N9" s="76"/>
    </row>
    <row r="11" spans="1:15" s="2" customFormat="1" x14ac:dyDescent="0.2">
      <c r="A11" s="78" t="s">
        <v>37</v>
      </c>
      <c r="B11" s="78"/>
      <c r="C11" s="78"/>
      <c r="D11" s="78"/>
      <c r="E11" s="5"/>
      <c r="F11" s="13"/>
      <c r="G11" s="13"/>
      <c r="H11" s="13"/>
      <c r="I11" s="13"/>
      <c r="J11" s="13"/>
      <c r="K11" s="13"/>
      <c r="L11" s="13"/>
      <c r="M11" s="13"/>
      <c r="N11" s="5"/>
    </row>
    <row r="13" spans="1:15" x14ac:dyDescent="0.2">
      <c r="A13" s="1" t="s">
        <v>2</v>
      </c>
      <c r="B13" s="1" t="s">
        <v>5</v>
      </c>
      <c r="C13" s="69" t="s">
        <v>43</v>
      </c>
      <c r="D13" s="70" t="s">
        <v>11</v>
      </c>
      <c r="E13" s="70" t="s">
        <v>17</v>
      </c>
      <c r="F13" s="11">
        <v>4.5829338400000003E-2</v>
      </c>
      <c r="G13" s="11">
        <v>1.0546500999999999E-3</v>
      </c>
      <c r="H13" s="11">
        <v>0.53288590599999996</v>
      </c>
      <c r="I13" s="11">
        <v>0.56245538740000001</v>
      </c>
      <c r="J13" s="11">
        <v>0.53984978090000002</v>
      </c>
      <c r="K13" s="11">
        <f>SUM(F13*1/3,G13*1/3,I13*1/3)</f>
        <v>0.2031131253</v>
      </c>
      <c r="L13" s="11">
        <f>SUM(H13*1/2,J13*1/2)</f>
        <v>0.53636784344999999</v>
      </c>
      <c r="M13" s="11">
        <f>SUM(F13*1/5,G13*1/5,H13*1/5,I13*1/5,J13*1/5)</f>
        <v>0.33641501256</v>
      </c>
      <c r="N13" s="76" t="s">
        <v>18</v>
      </c>
    </row>
    <row r="14" spans="1:15" x14ac:dyDescent="0.2">
      <c r="A14" s="1" t="s">
        <v>3</v>
      </c>
      <c r="B14" s="1" t="s">
        <v>6</v>
      </c>
      <c r="C14" s="69"/>
      <c r="D14" s="70"/>
      <c r="E14" s="70"/>
      <c r="F14" s="11">
        <v>7.9194630899999993E-2</v>
      </c>
      <c r="G14" s="11">
        <v>2.5886864999999999E-3</v>
      </c>
      <c r="H14" s="11">
        <v>0.26001917549999998</v>
      </c>
      <c r="I14" s="11">
        <v>0.51953307689999995</v>
      </c>
      <c r="J14" s="11">
        <v>0.4732195669</v>
      </c>
      <c r="K14" s="11">
        <f>SUM(F14*1/3,G14*1/3,I14*1/3)</f>
        <v>0.20043879809999998</v>
      </c>
      <c r="L14" s="11">
        <f>SUM(H14*1/2,J14*1/2)</f>
        <v>0.36661937119999999</v>
      </c>
      <c r="M14" s="11">
        <f>SUM(F14*1/5,G14*1/5,H14*1/5,I14*1/5,J14*1/5)</f>
        <v>0.26691102733999994</v>
      </c>
      <c r="N14" s="76"/>
    </row>
    <row r="15" spans="1:15" x14ac:dyDescent="0.2">
      <c r="A15" s="1" t="s">
        <v>4</v>
      </c>
      <c r="B15" s="1" t="s">
        <v>7</v>
      </c>
      <c r="C15" s="69"/>
      <c r="D15" s="70"/>
      <c r="E15" s="70"/>
      <c r="F15" s="11">
        <v>3.8350910000000001E-4</v>
      </c>
      <c r="G15" s="11">
        <v>1.0546500999999999E-3</v>
      </c>
      <c r="H15" s="11">
        <v>9.3000958800000005E-2</v>
      </c>
      <c r="I15" s="11">
        <v>0.55925740629999998</v>
      </c>
      <c r="J15" s="11">
        <v>0.46283236560000002</v>
      </c>
      <c r="K15" s="11">
        <f>SUM(F15*1/3,G15*1/3,I15*1/3)</f>
        <v>0.18689852183333333</v>
      </c>
      <c r="L15" s="11">
        <f>SUM(H15*1/2,J15*1/2)</f>
        <v>0.2779166622</v>
      </c>
      <c r="M15" s="11">
        <f>SUM(F15*1/5,G15*1/5,H15*1/5,I15*1/5,J15*1/5)</f>
        <v>0.22330577798000001</v>
      </c>
      <c r="N15" s="76"/>
    </row>
    <row r="17" spans="1:14" x14ac:dyDescent="0.2">
      <c r="A17" s="1" t="s">
        <v>2</v>
      </c>
      <c r="B17" s="1" t="s">
        <v>5</v>
      </c>
      <c r="C17" s="69" t="s">
        <v>44</v>
      </c>
      <c r="D17" s="70" t="s">
        <v>19</v>
      </c>
      <c r="E17" s="70" t="s">
        <v>27</v>
      </c>
      <c r="F17" s="11">
        <v>9.5397890700000001E-2</v>
      </c>
      <c r="G17" s="11">
        <v>1.6203259800000001E-2</v>
      </c>
      <c r="H17" s="11">
        <v>0.38044103550000002</v>
      </c>
      <c r="I17" s="11">
        <v>0.81662030279999998</v>
      </c>
      <c r="J17" s="11">
        <v>0.42969558610000003</v>
      </c>
      <c r="K17" s="11">
        <f>SUM(F17*1/3,G17*1/3,I17*1/3)</f>
        <v>0.3094071511</v>
      </c>
      <c r="L17" s="11">
        <f>SUM(H17*1/2,J17*1/2)</f>
        <v>0.40506831080000005</v>
      </c>
      <c r="M17" s="11">
        <f>SUM(F17*1/5,G17*1/5,H17*1/5,I17*1/5,J17*1/5)</f>
        <v>0.34767161497999999</v>
      </c>
      <c r="N17" s="76" t="s">
        <v>36</v>
      </c>
    </row>
    <row r="18" spans="1:14" x14ac:dyDescent="0.2">
      <c r="A18" s="1" t="s">
        <v>3</v>
      </c>
      <c r="B18" s="1" t="s">
        <v>6</v>
      </c>
      <c r="C18" s="69"/>
      <c r="D18" s="70"/>
      <c r="E18" s="70"/>
      <c r="F18" s="11">
        <v>3.7296260800000001E-2</v>
      </c>
      <c r="G18" s="11">
        <v>1.725791E-3</v>
      </c>
      <c r="H18" s="11">
        <v>0.42818791950000001</v>
      </c>
      <c r="I18" s="11">
        <v>0.76097577869999999</v>
      </c>
      <c r="J18" s="11">
        <v>0.45324013530000001</v>
      </c>
      <c r="K18" s="11">
        <f>SUM(F18*1/3,G18*1/3,I18*1/3)</f>
        <v>0.2666659435</v>
      </c>
      <c r="L18" s="11">
        <f>SUM(H18*1/2,J18*1/2)</f>
        <v>0.44071402739999999</v>
      </c>
      <c r="M18" s="11">
        <f>SUM(F18*1/5,G18*1/5,H18*1/5,I18*1/5,J18*1/5)</f>
        <v>0.33628517706000005</v>
      </c>
      <c r="N18" s="76"/>
    </row>
    <row r="19" spans="1:14" x14ac:dyDescent="0.2">
      <c r="A19" s="1" t="s">
        <v>4</v>
      </c>
      <c r="B19" s="1" t="s">
        <v>7</v>
      </c>
      <c r="C19" s="69"/>
      <c r="D19" s="70"/>
      <c r="E19" s="70"/>
      <c r="F19" s="11">
        <v>1.0546500000000001E-3</v>
      </c>
      <c r="G19" s="11">
        <v>1.725791E-3</v>
      </c>
      <c r="H19" s="11">
        <v>3.73921381E-2</v>
      </c>
      <c r="I19" s="11">
        <v>0.57534376239999996</v>
      </c>
      <c r="J19" s="11">
        <v>0.41970516870000002</v>
      </c>
      <c r="K19" s="11">
        <f>SUM(F19*1/3,G19*1/3,I19*1/3)</f>
        <v>0.19270806779999999</v>
      </c>
      <c r="L19" s="11">
        <f>SUM(H19*1/2,J19*1/2)</f>
        <v>0.22854865340000002</v>
      </c>
      <c r="M19" s="11">
        <f>SUM(F19*1/5,G19*1/5,H19*1/5,I19*1/5,J19*1/5)</f>
        <v>0.20704430204000002</v>
      </c>
      <c r="N19" s="76"/>
    </row>
    <row r="21" spans="1:14" x14ac:dyDescent="0.2">
      <c r="A21" s="1" t="s">
        <v>2</v>
      </c>
      <c r="B21" s="1" t="s">
        <v>5</v>
      </c>
      <c r="C21" s="69" t="s">
        <v>45</v>
      </c>
      <c r="D21" s="70" t="s">
        <v>20</v>
      </c>
      <c r="E21" s="70" t="s">
        <v>28</v>
      </c>
      <c r="F21" s="11">
        <v>7.0565675899999999E-2</v>
      </c>
      <c r="G21" s="11">
        <v>5.7526367E-3</v>
      </c>
      <c r="H21" s="11">
        <v>0.24928092039999999</v>
      </c>
      <c r="I21" s="11">
        <v>0.78841326899999997</v>
      </c>
      <c r="J21" s="11">
        <v>0.44505542780000001</v>
      </c>
      <c r="K21" s="11">
        <f>SUM(F21*1/3,G21*1/3,I21*1/3)</f>
        <v>0.28824386053333334</v>
      </c>
      <c r="L21" s="11">
        <f>SUM(H21*1/2,J21*1/2)</f>
        <v>0.3471681741</v>
      </c>
      <c r="M21" s="11">
        <f>SUM(F21*1/5,G21*1/5,H21*1/5,I21*1/5,J21*1/5)</f>
        <v>0.31181358595999997</v>
      </c>
      <c r="N21" s="76" t="s">
        <v>35</v>
      </c>
    </row>
    <row r="22" spans="1:14" x14ac:dyDescent="0.2">
      <c r="A22" s="1" t="s">
        <v>3</v>
      </c>
      <c r="B22" s="1" t="s">
        <v>6</v>
      </c>
      <c r="C22" s="69"/>
      <c r="D22" s="70"/>
      <c r="E22" s="70"/>
      <c r="F22" s="11">
        <v>1.05465005E-2</v>
      </c>
      <c r="G22" s="11">
        <v>4.0268457000000001E-3</v>
      </c>
      <c r="H22" s="11">
        <v>0.37142857140000002</v>
      </c>
      <c r="I22" s="11">
        <v>0.63057692489999995</v>
      </c>
      <c r="J22" s="11">
        <v>0.47740912070000002</v>
      </c>
      <c r="K22" s="11">
        <f>SUM(F22*1/3,G22*1/3,I22*1/3)</f>
        <v>0.21505009036666667</v>
      </c>
      <c r="L22" s="11">
        <f>SUM(H22*1/2,J22*1/2)</f>
        <v>0.42441884605000002</v>
      </c>
      <c r="M22" s="11">
        <f>SUM(F22*1/5,G22*1/5,H22*1/5,I22*1/5,J22*1/5)</f>
        <v>0.29879759264</v>
      </c>
      <c r="N22" s="76"/>
    </row>
    <row r="23" spans="1:14" x14ac:dyDescent="0.2">
      <c r="A23" s="1" t="s">
        <v>4</v>
      </c>
      <c r="B23" s="1" t="s">
        <v>7</v>
      </c>
      <c r="C23" s="69"/>
      <c r="D23" s="70"/>
      <c r="E23" s="70"/>
      <c r="F23" s="11">
        <v>0</v>
      </c>
      <c r="G23" s="11">
        <v>1.6299137E-3</v>
      </c>
      <c r="H23" s="11">
        <v>0.16663470759999999</v>
      </c>
      <c r="I23" s="11">
        <v>0.47885293839999998</v>
      </c>
      <c r="J23" s="11">
        <v>0.4799734652</v>
      </c>
      <c r="K23" s="11">
        <f>SUM(F23*1/3,G23*1/3,I23*1/3)</f>
        <v>0.1601609507</v>
      </c>
      <c r="L23" s="11">
        <f>SUM(H23*1/2,J23*1/2)</f>
        <v>0.32330408639999997</v>
      </c>
      <c r="M23" s="11">
        <f>SUM(F23*1/5,G23*1/5,H23*1/5,I23*1/5,J23*1/5)</f>
        <v>0.22541820497999998</v>
      </c>
      <c r="N23" s="76"/>
    </row>
    <row r="25" spans="1:14" x14ac:dyDescent="0.2">
      <c r="A25" s="1" t="s">
        <v>2</v>
      </c>
      <c r="B25" s="1" t="s">
        <v>5</v>
      </c>
      <c r="C25" s="69" t="s">
        <v>46</v>
      </c>
      <c r="D25" s="70" t="s">
        <v>21</v>
      </c>
      <c r="E25" s="70" t="s">
        <v>32</v>
      </c>
      <c r="F25" s="11">
        <v>5.6088207100000002E-2</v>
      </c>
      <c r="G25" s="11">
        <v>1.05465004E-2</v>
      </c>
      <c r="H25" s="11">
        <v>0.37488015340000003</v>
      </c>
      <c r="I25" s="11">
        <v>0.71524515099999997</v>
      </c>
      <c r="J25" s="11">
        <v>0.4496405751</v>
      </c>
      <c r="K25" s="11">
        <f>SUM(F25*1/3,G25*1/3,I25*1/3)</f>
        <v>0.26062661949999999</v>
      </c>
      <c r="L25" s="11">
        <f>SUM(H25*1/2,J25*1/2)</f>
        <v>0.41226036425000001</v>
      </c>
      <c r="M25" s="11">
        <f>SUM(F25*1/5,G25*1/5,H25*1/5,I25*1/5,J25*1/5)</f>
        <v>0.32128011739999995</v>
      </c>
    </row>
    <row r="26" spans="1:14" x14ac:dyDescent="0.2">
      <c r="A26" s="1" t="s">
        <v>3</v>
      </c>
      <c r="B26" s="1" t="s">
        <v>6</v>
      </c>
      <c r="C26" s="69"/>
      <c r="D26" s="70"/>
      <c r="E26" s="70"/>
      <c r="F26" s="11">
        <v>2.7229146700000002E-2</v>
      </c>
      <c r="G26" s="11">
        <v>2.2051774000000001E-3</v>
      </c>
      <c r="H26" s="11">
        <v>0.33710450619999999</v>
      </c>
      <c r="I26" s="11">
        <v>0.73998732089999997</v>
      </c>
      <c r="J26" s="11">
        <v>0.45159151089999999</v>
      </c>
      <c r="K26" s="11">
        <f>SUM(F26*1/3,G26*1/3,I26*1/3)</f>
        <v>0.25647388166666663</v>
      </c>
      <c r="L26" s="11">
        <f>SUM(H26*1/2,J26*1/2)</f>
        <v>0.39434800854999996</v>
      </c>
      <c r="M26" s="11">
        <f>SUM(F26*1/5,G26*1/5,H26*1/5,I26*1/5,J26*1/5)</f>
        <v>0.31162353241999996</v>
      </c>
    </row>
    <row r="27" spans="1:14" x14ac:dyDescent="0.2">
      <c r="A27" s="1" t="s">
        <v>4</v>
      </c>
      <c r="B27" s="1" t="s">
        <v>7</v>
      </c>
      <c r="C27" s="69"/>
      <c r="D27" s="70"/>
      <c r="E27" s="70"/>
      <c r="F27" s="11">
        <v>3.8350910000000001E-4</v>
      </c>
      <c r="G27" s="11">
        <v>1.725791E-3</v>
      </c>
      <c r="H27" s="11">
        <v>6.3279002900000006E-2</v>
      </c>
      <c r="I27" s="11">
        <v>0.45670477209999999</v>
      </c>
      <c r="J27" s="11">
        <v>0.4808019818</v>
      </c>
      <c r="K27" s="11">
        <f>SUM(F27*1/3,G27*1/3,I27*1/3)</f>
        <v>0.15293802406666665</v>
      </c>
      <c r="L27" s="11">
        <f>SUM(H27*1/2,J27*1/2)</f>
        <v>0.27204049235</v>
      </c>
      <c r="M27" s="11">
        <f>SUM(F27*1/5,G27*1/5,H27*1/5,I27*1/5,J27*1/5)</f>
        <v>0.20057901138000001</v>
      </c>
    </row>
    <row r="29" spans="1:14" x14ac:dyDescent="0.2">
      <c r="A29" s="1" t="s">
        <v>2</v>
      </c>
      <c r="B29" s="1" t="s">
        <v>5</v>
      </c>
      <c r="C29" s="69" t="s">
        <v>47</v>
      </c>
      <c r="D29" s="70" t="s">
        <v>22</v>
      </c>
      <c r="E29" s="70" t="s">
        <v>33</v>
      </c>
      <c r="F29" s="11">
        <v>4.0364333699999998E-2</v>
      </c>
      <c r="G29" s="11">
        <v>3.3557047E-3</v>
      </c>
      <c r="H29" s="11">
        <v>0.32425695110000002</v>
      </c>
      <c r="I29" s="11">
        <v>0.70605234920000004</v>
      </c>
      <c r="J29" s="11">
        <v>0.43611723260000002</v>
      </c>
      <c r="K29" s="11">
        <f>SUM(F29*1/3,G29*1/3,I29*1/3)</f>
        <v>0.24992412920000001</v>
      </c>
      <c r="L29" s="11">
        <f>SUM(H29*1/2,J29*1/2)</f>
        <v>0.38018709184999999</v>
      </c>
      <c r="M29" s="11">
        <f>SUM(F29*1/5,G29*1/5,H29*1/5,I29*1/5,J29*1/5)</f>
        <v>0.30202931426000001</v>
      </c>
    </row>
    <row r="30" spans="1:14" x14ac:dyDescent="0.2">
      <c r="A30" s="1" t="s">
        <v>3</v>
      </c>
      <c r="B30" s="1" t="s">
        <v>6</v>
      </c>
      <c r="C30" s="69"/>
      <c r="D30" s="70"/>
      <c r="E30" s="70"/>
      <c r="F30" s="11">
        <v>2.8475551299999999E-2</v>
      </c>
      <c r="G30" s="11">
        <v>1.0546500999999999E-3</v>
      </c>
      <c r="H30" s="11">
        <v>0.5637583893</v>
      </c>
      <c r="I30" s="11">
        <v>0.85501700719999996</v>
      </c>
      <c r="J30" s="11">
        <v>0.43641871859999998</v>
      </c>
      <c r="K30" s="11">
        <f>SUM(F30*1/3,G30*1/3,I30*1/3)</f>
        <v>0.29484906953333329</v>
      </c>
      <c r="L30" s="11">
        <f>SUM(H30*1/2,J30*1/2)</f>
        <v>0.50008855394999996</v>
      </c>
      <c r="M30" s="11">
        <f>SUM(F30*1/5,G30*1/5,H30*1/5,I30*1/5,J30*1/5)</f>
        <v>0.37694486329999999</v>
      </c>
    </row>
    <row r="31" spans="1:14" x14ac:dyDescent="0.2">
      <c r="A31" s="1" t="s">
        <v>4</v>
      </c>
      <c r="B31" s="1" t="s">
        <v>7</v>
      </c>
      <c r="C31" s="69"/>
      <c r="D31" s="70"/>
      <c r="E31" s="70"/>
      <c r="F31" s="11">
        <v>1.917546E-4</v>
      </c>
      <c r="G31" s="11">
        <v>2.1093001000000002E-3</v>
      </c>
      <c r="H31" s="11">
        <v>0.81073825499999996</v>
      </c>
      <c r="I31" s="11">
        <v>0.50746971929999996</v>
      </c>
      <c r="J31" s="11">
        <v>0.48343524840000002</v>
      </c>
      <c r="K31" s="11">
        <f>SUM(F31*1/3,G31*1/3,I31*1/3)</f>
        <v>0.16992359133333332</v>
      </c>
      <c r="L31" s="54">
        <f>SUM(H31*1/2,J31*1/2)</f>
        <v>0.64708675169999996</v>
      </c>
      <c r="M31" s="11">
        <f>SUM(F31*1/5,G31*1/5,H31*1/5,I31*1/5,J31*1/5)</f>
        <v>0.36078885547999995</v>
      </c>
    </row>
    <row r="33" spans="1:14" x14ac:dyDescent="0.2">
      <c r="A33" s="1" t="s">
        <v>2</v>
      </c>
      <c r="B33" s="1" t="s">
        <v>5</v>
      </c>
      <c r="C33" s="69" t="s">
        <v>48</v>
      </c>
      <c r="D33" s="70" t="s">
        <v>23</v>
      </c>
      <c r="E33" s="70" t="s">
        <v>29</v>
      </c>
      <c r="F33" s="11">
        <v>5.1094890499999997E-2</v>
      </c>
      <c r="G33" s="11">
        <v>9.9884747999999992E-3</v>
      </c>
      <c r="H33" s="11">
        <v>0.4692662313</v>
      </c>
      <c r="I33" s="11">
        <v>0.89344463880000002</v>
      </c>
      <c r="J33" s="11">
        <v>0.39221498240000002</v>
      </c>
      <c r="K33" s="54">
        <f>SUM(F33*1/3,G33*1/3,I33*1/3)</f>
        <v>0.31817600136666668</v>
      </c>
      <c r="L33" s="11">
        <f>SUM(H33*1/2,J33*1/2)</f>
        <v>0.43074060685000004</v>
      </c>
      <c r="M33" s="11">
        <f>SUM(F33*1/5,G33*1/5,H33*1/5,I33*1/5,J33*1/5)</f>
        <v>0.36320184355999996</v>
      </c>
    </row>
    <row r="34" spans="1:14" x14ac:dyDescent="0.2">
      <c r="A34" s="1" t="s">
        <v>3</v>
      </c>
      <c r="B34" s="1" t="s">
        <v>6</v>
      </c>
      <c r="C34" s="69"/>
      <c r="D34" s="70"/>
      <c r="E34" s="70"/>
      <c r="F34" s="11">
        <v>2.4010757000000001E-3</v>
      </c>
      <c r="G34" s="11">
        <v>2.3050326E-3</v>
      </c>
      <c r="H34" s="11">
        <v>0.27890895119999998</v>
      </c>
      <c r="I34" s="11">
        <v>0.51170637990000001</v>
      </c>
      <c r="J34" s="11">
        <v>0.47991897360000002</v>
      </c>
      <c r="K34" s="11">
        <f>SUM(F34*1/3,G34*1/3,I34*1/3)</f>
        <v>0.17213749606666667</v>
      </c>
      <c r="L34" s="11">
        <f>SUM(H34*1/2,J34*1/2)</f>
        <v>0.37941396240000003</v>
      </c>
      <c r="M34" s="11">
        <f>SUM(F34*1/5,G34*1/5,H34*1/5,I34*1/5,J34*1/5)</f>
        <v>0.2550480826</v>
      </c>
    </row>
    <row r="35" spans="1:14" x14ac:dyDescent="0.2">
      <c r="A35" s="1" t="s">
        <v>4</v>
      </c>
      <c r="B35" s="1" t="s">
        <v>7</v>
      </c>
      <c r="C35" s="69"/>
      <c r="D35" s="70"/>
      <c r="E35" s="70"/>
      <c r="F35" s="11">
        <v>0</v>
      </c>
      <c r="G35" s="11">
        <v>3.2654629000000001E-3</v>
      </c>
      <c r="H35" s="11">
        <v>2.53553592E-2</v>
      </c>
      <c r="I35" s="11">
        <v>0.47971639189999998</v>
      </c>
      <c r="J35" s="11">
        <v>0.46461151090000002</v>
      </c>
      <c r="K35" s="11">
        <f>SUM(F35*1/3,G35*1/3,I35*1/3)</f>
        <v>0.16099395159999999</v>
      </c>
      <c r="L35" s="11">
        <f>SUM(H35*1/2,J35*1/2)</f>
        <v>0.24498343505</v>
      </c>
      <c r="M35" s="11">
        <f>SUM(F35*1/5,G35*1/5,H35*1/5,I35*1/5,J35*1/5)</f>
        <v>0.19458974497999998</v>
      </c>
    </row>
    <row r="37" spans="1:14" x14ac:dyDescent="0.2">
      <c r="A37" s="1" t="s">
        <v>2</v>
      </c>
      <c r="B37" s="1" t="s">
        <v>5</v>
      </c>
      <c r="C37" s="69" t="s">
        <v>49</v>
      </c>
      <c r="D37" s="70" t="s">
        <v>24</v>
      </c>
      <c r="E37" s="70" t="s">
        <v>34</v>
      </c>
      <c r="F37" s="11">
        <v>4.4007670200000001E-2</v>
      </c>
      <c r="G37" s="11">
        <v>3.2598275E-3</v>
      </c>
      <c r="H37" s="11">
        <v>0.29223394060000002</v>
      </c>
      <c r="I37" s="11">
        <v>0.81481471809999995</v>
      </c>
      <c r="J37" s="11">
        <v>0.38846176700000001</v>
      </c>
      <c r="K37" s="11">
        <f>SUM(F37*1/3,G37*1/3,I37*1/3)</f>
        <v>0.2873607386</v>
      </c>
      <c r="L37" s="11">
        <f>SUM(H37*1/2,J37*1/2)</f>
        <v>0.34034785379999999</v>
      </c>
      <c r="M37" s="11">
        <f>SUM(F37*1/5,G37*1/5,H37*1/5,I37*1/5,J37*1/5)</f>
        <v>0.30855558467999999</v>
      </c>
    </row>
    <row r="38" spans="1:14" x14ac:dyDescent="0.2">
      <c r="A38" s="1" t="s">
        <v>3</v>
      </c>
      <c r="B38" s="1" t="s">
        <v>6</v>
      </c>
      <c r="C38" s="69"/>
      <c r="D38" s="70"/>
      <c r="E38" s="70"/>
      <c r="F38" s="11">
        <v>5.9443912000000003E-3</v>
      </c>
      <c r="G38" s="11">
        <v>5.9443912000000003E-3</v>
      </c>
      <c r="H38" s="11">
        <v>0.27842761269999999</v>
      </c>
      <c r="I38" s="11">
        <v>0.55905358250000003</v>
      </c>
      <c r="J38" s="11">
        <v>0.47092189779999999</v>
      </c>
      <c r="K38" s="11">
        <f>SUM(F38*1/3,G38*1/3,I38*1/3)</f>
        <v>0.19031412163333333</v>
      </c>
      <c r="L38" s="11">
        <f>SUM(H38*1/2,J38*1/2)</f>
        <v>0.37467475524999999</v>
      </c>
      <c r="M38" s="11">
        <f>SUM(F38*1/5,G38*1/5,H38*1/5,I38*1/5,J38*1/5)</f>
        <v>0.26405837507999996</v>
      </c>
    </row>
    <row r="39" spans="1:14" x14ac:dyDescent="0.2">
      <c r="A39" s="1" t="s">
        <v>4</v>
      </c>
      <c r="B39" s="1" t="s">
        <v>7</v>
      </c>
      <c r="C39" s="69"/>
      <c r="D39" s="70"/>
      <c r="E39" s="70"/>
      <c r="F39" s="11">
        <v>1.917546E-4</v>
      </c>
      <c r="G39" s="11">
        <v>1.5340364E-3</v>
      </c>
      <c r="H39" s="11">
        <v>0.17104506229999999</v>
      </c>
      <c r="I39" s="11">
        <v>0.48401786200000002</v>
      </c>
      <c r="J39" s="11">
        <v>0.4750072092</v>
      </c>
      <c r="K39" s="11">
        <f>SUM(F39*1/3,G39*1/3,I39*1/3)</f>
        <v>0.16191455099999999</v>
      </c>
      <c r="L39" s="11">
        <f>SUM(H39*1/2,J39*1/2)</f>
        <v>0.32302613575</v>
      </c>
      <c r="M39" s="11">
        <f>SUM(F39*1/5,G39*1/5,H39*1/5,I39*1/5,J39*1/5)</f>
        <v>0.22635918490000001</v>
      </c>
    </row>
    <row r="41" spans="1:14" s="2" customFormat="1" x14ac:dyDescent="0.2">
      <c r="A41" s="78" t="s">
        <v>38</v>
      </c>
      <c r="B41" s="78"/>
      <c r="C41" s="78"/>
      <c r="D41" s="78"/>
      <c r="E41" s="5"/>
      <c r="F41" s="13"/>
      <c r="G41" s="13"/>
      <c r="H41" s="13"/>
      <c r="I41" s="13"/>
      <c r="J41" s="13"/>
      <c r="K41" s="13"/>
      <c r="L41" s="13"/>
      <c r="M41" s="13"/>
      <c r="N41" s="5"/>
    </row>
    <row r="43" spans="1:14" x14ac:dyDescent="0.2">
      <c r="A43" s="1" t="s">
        <v>2</v>
      </c>
      <c r="B43" s="1" t="s">
        <v>5</v>
      </c>
      <c r="C43" s="69" t="s">
        <v>50</v>
      </c>
      <c r="D43" s="70" t="s">
        <v>25</v>
      </c>
      <c r="E43" s="70" t="s">
        <v>27</v>
      </c>
      <c r="F43" s="11">
        <v>3.9087947900000003E-2</v>
      </c>
      <c r="G43" s="11">
        <v>8.7181451999999993E-3</v>
      </c>
      <c r="H43" s="11">
        <v>0.3901130485</v>
      </c>
      <c r="I43" s="11">
        <v>0.73645856980000002</v>
      </c>
      <c r="J43" s="11">
        <v>0.47121172500000003</v>
      </c>
      <c r="K43" s="11">
        <f>SUM(F43*1/3,G43*1/3,I43*1/3)</f>
        <v>0.26142155430000003</v>
      </c>
      <c r="L43" s="11">
        <f>SUM(H43*1/2,J43*1/2)</f>
        <v>0.43066238675000001</v>
      </c>
      <c r="M43" s="11">
        <f>SUM(F43*1/5,G43*1/5,H43*1/5,I43*1/5,J43*1/5)</f>
        <v>0.32911788728000002</v>
      </c>
      <c r="N43" s="76" t="s">
        <v>30</v>
      </c>
    </row>
    <row r="44" spans="1:14" x14ac:dyDescent="0.2">
      <c r="A44" s="1" t="s">
        <v>3</v>
      </c>
      <c r="B44" s="1" t="s">
        <v>6</v>
      </c>
      <c r="C44" s="69"/>
      <c r="D44" s="70"/>
      <c r="E44" s="70"/>
      <c r="F44" s="11">
        <v>1.59034298E-2</v>
      </c>
      <c r="G44" s="11">
        <v>2.2992910000000002E-3</v>
      </c>
      <c r="H44" s="11">
        <v>0.48342594370000003</v>
      </c>
      <c r="I44" s="11">
        <v>0.68715179920000002</v>
      </c>
      <c r="J44" s="11">
        <v>0.48531944220000001</v>
      </c>
      <c r="K44" s="11">
        <f>SUM(F44*1/3,G44*1/3,I44*1/3)</f>
        <v>0.23511817333333332</v>
      </c>
      <c r="L44" s="11">
        <f>SUM(H44*1/2,J44*1/2)</f>
        <v>0.48437269295000002</v>
      </c>
      <c r="M44" s="11">
        <f>SUM(F44*1/5,G44*1/5,H44*1/5,I44*1/5,J44*1/5)</f>
        <v>0.33481998118</v>
      </c>
      <c r="N44" s="76"/>
    </row>
    <row r="45" spans="1:14" x14ac:dyDescent="0.2">
      <c r="A45" s="1" t="s">
        <v>4</v>
      </c>
      <c r="B45" s="1" t="s">
        <v>7</v>
      </c>
      <c r="C45" s="69"/>
      <c r="D45" s="70"/>
      <c r="E45" s="70"/>
      <c r="F45" s="62">
        <v>0</v>
      </c>
      <c r="G45" s="11">
        <v>1.0538418000000001E-3</v>
      </c>
      <c r="H45" s="11">
        <v>0.19294884079999999</v>
      </c>
      <c r="I45" s="11">
        <v>0.47724684769999998</v>
      </c>
      <c r="J45" s="11">
        <v>0.47960696060000002</v>
      </c>
      <c r="K45" s="11">
        <f>SUM(F45*1/3,G45*1/3,I45*1/3)</f>
        <v>0.15943356316666665</v>
      </c>
      <c r="L45" s="11">
        <f>SUM(H45*1/2,J45*1/2)</f>
        <v>0.33627790070000002</v>
      </c>
      <c r="M45" s="11">
        <f>SUM(F45*1/5,G45*1/5,H45*1/5,I45*1/5,J45*1/5)</f>
        <v>0.23017129817999998</v>
      </c>
      <c r="N45" s="76"/>
    </row>
    <row r="47" spans="1:14" x14ac:dyDescent="0.2">
      <c r="A47" s="1" t="s">
        <v>2</v>
      </c>
      <c r="B47" s="1" t="s">
        <v>5</v>
      </c>
      <c r="C47" s="69" t="s">
        <v>51</v>
      </c>
      <c r="D47" s="70" t="s">
        <v>26</v>
      </c>
      <c r="E47" s="70" t="s">
        <v>28</v>
      </c>
      <c r="F47" s="11">
        <v>5.4608162000000003E-3</v>
      </c>
      <c r="G47" s="11">
        <v>3.8321518000000001E-3</v>
      </c>
      <c r="H47" s="11">
        <v>0.32515807629999999</v>
      </c>
      <c r="I47" s="11">
        <v>0.63049252609999995</v>
      </c>
      <c r="J47" s="11">
        <v>0.45521605110000002</v>
      </c>
      <c r="K47" s="11">
        <f>SUM(F47*1/3,G47*1/3,I47*1/3)</f>
        <v>0.21326183136666665</v>
      </c>
      <c r="L47" s="11">
        <f>SUM(H47*1/2,J47*1/2)</f>
        <v>0.3901870637</v>
      </c>
      <c r="M47" s="11">
        <f>SUM(F47*1/5,G47*1/5,H47*1/5,I47*1/5,J47*1/5)</f>
        <v>0.28403192430000002</v>
      </c>
      <c r="N47" s="76" t="s">
        <v>31</v>
      </c>
    </row>
    <row r="48" spans="1:14" x14ac:dyDescent="0.2">
      <c r="A48" s="1" t="s">
        <v>3</v>
      </c>
      <c r="B48" s="1" t="s">
        <v>6</v>
      </c>
      <c r="C48" s="69"/>
      <c r="D48" s="70"/>
      <c r="E48" s="70"/>
      <c r="F48" s="11">
        <v>2.90285495E-2</v>
      </c>
      <c r="G48" s="11">
        <v>8.6223409999999995E-4</v>
      </c>
      <c r="H48" s="11">
        <v>0.4443379958</v>
      </c>
      <c r="I48" s="11">
        <v>0.81897723840000003</v>
      </c>
      <c r="J48" s="11">
        <v>0.46126102250000001</v>
      </c>
      <c r="K48" s="11">
        <f>SUM(F48*1/3,G48*1/3,I48*1/3)</f>
        <v>0.28295600733333337</v>
      </c>
      <c r="L48" s="11">
        <f>SUM(H48*1/2,J48*1/2)</f>
        <v>0.45279950915</v>
      </c>
      <c r="M48" s="11">
        <f>SUM(F48*1/5,G48*1/5,H48*1/5,I48*1/5,J48*1/5)</f>
        <v>0.35089340806000002</v>
      </c>
      <c r="N48" s="76"/>
    </row>
    <row r="49" spans="1:14" x14ac:dyDescent="0.2">
      <c r="A49" s="1" t="s">
        <v>4</v>
      </c>
      <c r="B49" s="1" t="s">
        <v>7</v>
      </c>
      <c r="C49" s="69"/>
      <c r="D49" s="70"/>
      <c r="E49" s="70"/>
      <c r="F49" s="11">
        <v>1.9160760000000001E-4</v>
      </c>
      <c r="G49" s="11">
        <v>1.3412531E-3</v>
      </c>
      <c r="H49" s="11">
        <v>0.71239701089999996</v>
      </c>
      <c r="I49" s="11">
        <v>0.50377163940000003</v>
      </c>
      <c r="J49" s="11">
        <v>0.4912146825</v>
      </c>
      <c r="K49" s="11">
        <f>SUM(F49*1/3,G49*1/3,I49*1/3)</f>
        <v>0.16843483336666668</v>
      </c>
      <c r="L49" s="11">
        <f>SUM(H49*1/2,J49*1/2)</f>
        <v>0.60180584670000004</v>
      </c>
      <c r="M49" s="11">
        <f>SUM(F49*1/5,G49*1/5,H49*1/5,I49*1/5,J49*1/5)</f>
        <v>0.34178323869999999</v>
      </c>
      <c r="N49" s="76"/>
    </row>
    <row r="51" spans="1:14" x14ac:dyDescent="0.2">
      <c r="A51" s="1" t="s">
        <v>2</v>
      </c>
      <c r="B51" s="1" t="s">
        <v>5</v>
      </c>
      <c r="C51" s="69" t="s">
        <v>52</v>
      </c>
      <c r="D51" s="70" t="s">
        <v>39</v>
      </c>
      <c r="E51" s="70" t="s">
        <v>29</v>
      </c>
      <c r="F51" s="11">
        <v>2.7399884999999999E-2</v>
      </c>
      <c r="G51" s="11">
        <v>2.0693619399999998E-2</v>
      </c>
      <c r="H51" s="11">
        <v>0.62962253310000005</v>
      </c>
      <c r="I51" s="11">
        <v>0.85414416559999995</v>
      </c>
      <c r="J51" s="11">
        <v>0.45041272119999998</v>
      </c>
      <c r="K51" s="11">
        <f>SUM(F51*1/3,G51*1/3,I51*1/3)</f>
        <v>0.30074588999999996</v>
      </c>
      <c r="L51" s="11">
        <f>SUM(H51*1/2,J51*1/2)</f>
        <v>0.54001762715000001</v>
      </c>
      <c r="M51" s="54">
        <f>SUM(F51*1/5,G51*1/5,H51*1/5,I51*1/5,J51*1/5)</f>
        <v>0.39645458486000001</v>
      </c>
    </row>
    <row r="52" spans="1:14" x14ac:dyDescent="0.2">
      <c r="A52" s="1" t="s">
        <v>3</v>
      </c>
      <c r="B52" s="1" t="s">
        <v>6</v>
      </c>
      <c r="C52" s="69"/>
      <c r="D52" s="70"/>
      <c r="E52" s="70"/>
      <c r="F52" s="11">
        <v>3.4489365999999999E-3</v>
      </c>
      <c r="G52" s="11">
        <v>2.77831E-3</v>
      </c>
      <c r="H52" s="11">
        <v>0.28319601459999999</v>
      </c>
      <c r="I52" s="11">
        <v>0.55856684919999999</v>
      </c>
      <c r="J52" s="11">
        <v>0.48412258870000002</v>
      </c>
      <c r="K52" s="11">
        <f>SUM(F52*1/3,G52*1/3,I52*1/3)</f>
        <v>0.1882646986</v>
      </c>
      <c r="L52" s="11">
        <f>SUM(H52*1/2,J52*1/2)</f>
        <v>0.38365930165000001</v>
      </c>
      <c r="M52" s="11">
        <f>SUM(F52*1/5,G52*1/5,H52*1/5,I52*1/5,J52*1/5)</f>
        <v>0.26642253981999997</v>
      </c>
    </row>
    <row r="53" spans="1:14" x14ac:dyDescent="0.2">
      <c r="A53" s="1" t="s">
        <v>4</v>
      </c>
      <c r="B53" s="1" t="s">
        <v>7</v>
      </c>
      <c r="C53" s="69"/>
      <c r="D53" s="70"/>
      <c r="E53" s="70"/>
      <c r="F53" s="62">
        <v>4.7901900000000002E-4</v>
      </c>
      <c r="G53" s="11">
        <v>9.5803800000000003E-4</v>
      </c>
      <c r="H53" s="11">
        <v>0.1588426902</v>
      </c>
      <c r="I53" s="11">
        <v>0.51150557910000005</v>
      </c>
      <c r="J53" s="11">
        <v>0.47634846359999999</v>
      </c>
      <c r="K53" s="11">
        <f>SUM(F53*1/3,G53*1/3,I53*1/3)</f>
        <v>0.17098087870000001</v>
      </c>
      <c r="L53" s="11">
        <f>SUM(H53*1/2,J53*1/2)</f>
        <v>0.31759557690000001</v>
      </c>
      <c r="M53" s="11">
        <f>SUM(F53*1/5,G53*1/5,H53*1/5,I53*1/5,J53*1/5)</f>
        <v>0.22962675798000001</v>
      </c>
    </row>
    <row r="56" spans="1:14" s="14" customFormat="1" x14ac:dyDescent="0.2">
      <c r="A56" s="77" t="s">
        <v>59</v>
      </c>
      <c r="B56" s="77"/>
      <c r="C56" s="77"/>
      <c r="D56" s="77"/>
      <c r="E56" s="15"/>
      <c r="F56" s="16">
        <f t="shared" ref="F56:M56" si="0">MAX(F3:F53)</f>
        <v>9.81988887E-2</v>
      </c>
      <c r="G56" s="16">
        <f t="shared" si="0"/>
        <v>2.0693619399999998E-2</v>
      </c>
      <c r="H56" s="16">
        <f t="shared" si="0"/>
        <v>0.81073825499999996</v>
      </c>
      <c r="I56" s="16">
        <f t="shared" si="0"/>
        <v>0.89344463880000002</v>
      </c>
      <c r="J56" s="16">
        <f t="shared" si="0"/>
        <v>0.53984978090000002</v>
      </c>
      <c r="K56" s="16">
        <f t="shared" si="0"/>
        <v>0.31817600136666668</v>
      </c>
      <c r="L56" s="16">
        <f t="shared" si="0"/>
        <v>0.64708675169999996</v>
      </c>
      <c r="M56" s="16">
        <f t="shared" si="0"/>
        <v>0.39645458486000001</v>
      </c>
      <c r="N56" s="17"/>
    </row>
    <row r="57" spans="1:14" s="18" customFormat="1" x14ac:dyDescent="0.2">
      <c r="A57" s="79" t="s">
        <v>60</v>
      </c>
      <c r="B57" s="79"/>
      <c r="C57" s="79"/>
      <c r="D57" s="79"/>
      <c r="E57" s="19"/>
      <c r="F57" s="20">
        <f t="shared" ref="F57:M57" si="1">AVERAGE(F3:F53)</f>
        <v>2.8208676708333331E-2</v>
      </c>
      <c r="G57" s="20">
        <f t="shared" si="1"/>
        <v>4.3324944694444444E-3</v>
      </c>
      <c r="H57" s="20">
        <f t="shared" si="1"/>
        <v>0.32975944002499991</v>
      </c>
      <c r="I57" s="20">
        <f t="shared" si="1"/>
        <v>0.63286333159999986</v>
      </c>
      <c r="J57" s="20">
        <f t="shared" si="1"/>
        <v>0.4615904423916668</v>
      </c>
      <c r="K57" s="20">
        <f t="shared" si="1"/>
        <v>0.22180150092592596</v>
      </c>
      <c r="L57" s="20">
        <f t="shared" si="1"/>
        <v>0.39567494120833341</v>
      </c>
      <c r="M57" s="20">
        <f t="shared" si="1"/>
        <v>0.29135087703888896</v>
      </c>
      <c r="N57" s="21"/>
    </row>
    <row r="59" spans="1:14" s="22" customFormat="1" x14ac:dyDescent="0.2">
      <c r="A59" s="82" t="s">
        <v>64</v>
      </c>
      <c r="B59" s="82"/>
      <c r="C59" s="82"/>
      <c r="D59" s="82"/>
      <c r="E59" s="82"/>
      <c r="F59" s="29">
        <f>SUM(F56*(1/3),  G56*(1/3), I56*(1/3))</f>
        <v>0.33744571563333331</v>
      </c>
      <c r="G59" s="23"/>
      <c r="H59" s="23"/>
      <c r="I59" s="23"/>
      <c r="J59" s="23"/>
      <c r="K59" s="23"/>
      <c r="L59" s="23"/>
      <c r="M59" s="23"/>
      <c r="N59" s="24"/>
    </row>
    <row r="60" spans="1:14" s="27" customFormat="1" x14ac:dyDescent="0.2">
      <c r="A60" s="83" t="s">
        <v>65</v>
      </c>
      <c r="B60" s="83"/>
      <c r="C60" s="83"/>
      <c r="D60" s="83"/>
      <c r="E60" s="83"/>
      <c r="F60" s="28">
        <f>SUM(H56*(1/2),  J56*(1/2))</f>
        <v>0.67529401794999999</v>
      </c>
      <c r="G60" s="25"/>
      <c r="H60" s="25"/>
      <c r="I60" s="25"/>
      <c r="J60" s="25"/>
      <c r="K60" s="25"/>
      <c r="L60" s="25"/>
      <c r="M60" s="25"/>
      <c r="N60" s="26"/>
    </row>
    <row r="61" spans="1:14" s="33" customFormat="1" x14ac:dyDescent="0.2">
      <c r="A61" s="84" t="s">
        <v>66</v>
      </c>
      <c r="B61" s="84"/>
      <c r="C61" s="84"/>
      <c r="D61" s="84"/>
      <c r="E61" s="84"/>
      <c r="F61" s="30">
        <f>SUM(F56*1/5, G56*1/5, H56*1/5, I56*1/5,J56*1/5)</f>
        <v>0.47258503656</v>
      </c>
      <c r="G61" s="31"/>
      <c r="H61" s="31"/>
      <c r="I61" s="31"/>
      <c r="J61" s="31"/>
      <c r="K61" s="31"/>
      <c r="L61" s="31"/>
      <c r="M61" s="31"/>
      <c r="N61" s="32"/>
    </row>
    <row r="63" spans="1:14" s="37" customFormat="1" x14ac:dyDescent="0.2">
      <c r="A63" s="80" t="s">
        <v>83</v>
      </c>
      <c r="B63" s="80"/>
      <c r="C63" s="80"/>
      <c r="D63" s="80"/>
      <c r="E63" s="34"/>
      <c r="F63" s="35"/>
      <c r="G63" s="35"/>
      <c r="H63" s="35"/>
      <c r="I63" s="35"/>
      <c r="J63" s="35"/>
      <c r="K63" s="35"/>
      <c r="L63" s="35"/>
      <c r="M63" s="35"/>
      <c r="N63" s="36"/>
    </row>
    <row r="64" spans="1:14" s="37" customFormat="1" x14ac:dyDescent="0.2">
      <c r="A64" s="80" t="s">
        <v>84</v>
      </c>
      <c r="B64" s="81"/>
      <c r="C64" s="81"/>
      <c r="D64" s="81"/>
      <c r="E64" s="38"/>
      <c r="F64" s="35"/>
      <c r="G64" s="35"/>
      <c r="H64" s="35"/>
      <c r="I64" s="35"/>
      <c r="J64" s="35"/>
      <c r="K64" s="35"/>
      <c r="L64" s="35"/>
      <c r="M64" s="35"/>
      <c r="N64" s="36"/>
    </row>
    <row r="65" spans="1:14" s="37" customFormat="1" x14ac:dyDescent="0.2">
      <c r="A65" s="80" t="s">
        <v>85</v>
      </c>
      <c r="B65" s="81"/>
      <c r="C65" s="81"/>
      <c r="D65" s="81"/>
      <c r="E65" s="38"/>
      <c r="F65" s="35"/>
      <c r="G65" s="35"/>
      <c r="H65" s="35"/>
      <c r="I65" s="35"/>
      <c r="J65" s="35"/>
      <c r="K65" s="35"/>
      <c r="L65" s="35"/>
      <c r="M65" s="35"/>
      <c r="N65" s="36"/>
    </row>
  </sheetData>
  <mergeCells count="54">
    <mergeCell ref="A1:XFD1"/>
    <mergeCell ref="A64:D64"/>
    <mergeCell ref="A65:D65"/>
    <mergeCell ref="A59:E59"/>
    <mergeCell ref="A60:E60"/>
    <mergeCell ref="A61:E61"/>
    <mergeCell ref="A63:D63"/>
    <mergeCell ref="A57:D57"/>
    <mergeCell ref="A11:D11"/>
    <mergeCell ref="C13:C15"/>
    <mergeCell ref="D13:D15"/>
    <mergeCell ref="E13:E15"/>
    <mergeCell ref="C25:C27"/>
    <mergeCell ref="D25:D27"/>
    <mergeCell ref="E25:E27"/>
    <mergeCell ref="C29:C31"/>
    <mergeCell ref="D29:D31"/>
    <mergeCell ref="E29:E31"/>
    <mergeCell ref="C33:C35"/>
    <mergeCell ref="D33:D35"/>
    <mergeCell ref="E33:E35"/>
    <mergeCell ref="C51:C53"/>
    <mergeCell ref="D51:D53"/>
    <mergeCell ref="C3:C5"/>
    <mergeCell ref="D3:D5"/>
    <mergeCell ref="E3:E5"/>
    <mergeCell ref="N3:N5"/>
    <mergeCell ref="C7:C9"/>
    <mergeCell ref="D7:D9"/>
    <mergeCell ref="E7:E9"/>
    <mergeCell ref="N7:N9"/>
    <mergeCell ref="N13:N15"/>
    <mergeCell ref="C21:C23"/>
    <mergeCell ref="D21:D23"/>
    <mergeCell ref="E21:E23"/>
    <mergeCell ref="N21:N23"/>
    <mergeCell ref="C17:C19"/>
    <mergeCell ref="D17:D19"/>
    <mergeCell ref="E17:E19"/>
    <mergeCell ref="N17:N19"/>
    <mergeCell ref="C37:C39"/>
    <mergeCell ref="D37:D39"/>
    <mergeCell ref="E37:E39"/>
    <mergeCell ref="A41:D41"/>
    <mergeCell ref="C43:C45"/>
    <mergeCell ref="D43:D45"/>
    <mergeCell ref="E43:E45"/>
    <mergeCell ref="A56:D56"/>
    <mergeCell ref="N43:N45"/>
    <mergeCell ref="C47:C49"/>
    <mergeCell ref="D47:D49"/>
    <mergeCell ref="E47:E49"/>
    <mergeCell ref="N47:N49"/>
    <mergeCell ref="E51:E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C51E-177F-BF40-BC8B-54510E0AFA97}">
  <dimension ref="A1:N104"/>
  <sheetViews>
    <sheetView zoomScaleNormal="100" workbookViewId="0">
      <pane ySplit="2" topLeftCell="A3" activePane="bottomLeft" state="frozen"/>
      <selection pane="bottomLeft" sqref="A1:XFD1"/>
    </sheetView>
  </sheetViews>
  <sheetFormatPr baseColWidth="10" defaultColWidth="51.33203125" defaultRowHeight="21" x14ac:dyDescent="0.2"/>
  <cols>
    <col min="1" max="1" width="28.1640625" style="1" customWidth="1"/>
    <col min="2" max="2" width="15.33203125" style="1" customWidth="1"/>
    <col min="3" max="3" width="36.1640625" style="3" customWidth="1"/>
    <col min="4" max="4" width="39.6640625" style="3" bestFit="1" customWidth="1"/>
    <col min="5" max="5" width="27.83203125" style="11" customWidth="1"/>
    <col min="6" max="6" width="28.1640625" style="11" customWidth="1"/>
    <col min="7" max="7" width="30.83203125" style="11" customWidth="1"/>
    <col min="8" max="8" width="29" style="11" bestFit="1" customWidth="1"/>
    <col min="9" max="9" width="28.6640625" style="11" customWidth="1"/>
    <col min="10" max="10" width="27.1640625" style="11" customWidth="1"/>
    <col min="11" max="11" width="24.83203125" style="11" customWidth="1"/>
    <col min="12" max="12" width="25.5" style="11" customWidth="1"/>
    <col min="13" max="16384" width="51.33203125" style="1"/>
  </cols>
  <sheetData>
    <row r="1" spans="1:14" s="89" customFormat="1" ht="27" thickBot="1" x14ac:dyDescent="0.25">
      <c r="A1" s="89" t="s">
        <v>118</v>
      </c>
    </row>
    <row r="2" spans="1:14" s="6" customFormat="1" ht="66" x14ac:dyDescent="0.2">
      <c r="A2" s="6" t="s">
        <v>0</v>
      </c>
      <c r="B2" s="6" t="s">
        <v>1</v>
      </c>
      <c r="C2" s="7" t="s">
        <v>40</v>
      </c>
      <c r="D2" s="7" t="s">
        <v>58</v>
      </c>
      <c r="E2" s="12" t="s">
        <v>53</v>
      </c>
      <c r="F2" s="12" t="s">
        <v>54</v>
      </c>
      <c r="G2" s="12" t="s">
        <v>55</v>
      </c>
      <c r="H2" s="12" t="s">
        <v>56</v>
      </c>
      <c r="I2" s="12" t="s">
        <v>57</v>
      </c>
      <c r="J2" s="12" t="s">
        <v>61</v>
      </c>
      <c r="K2" s="12" t="s">
        <v>62</v>
      </c>
      <c r="L2" s="12" t="s">
        <v>63</v>
      </c>
    </row>
    <row r="3" spans="1:14" s="8" customFormat="1" x14ac:dyDescent="0.2">
      <c r="A3" s="9"/>
      <c r="B3" s="9"/>
      <c r="C3" s="10"/>
      <c r="D3" s="10"/>
      <c r="E3" s="53"/>
      <c r="F3" s="53"/>
      <c r="G3" s="53"/>
      <c r="H3" s="53"/>
      <c r="I3" s="53"/>
      <c r="J3" s="53"/>
      <c r="K3" s="55"/>
      <c r="L3" s="55"/>
      <c r="M3" s="9"/>
      <c r="N3" s="9"/>
    </row>
    <row r="4" spans="1:14" s="47" customFormat="1" x14ac:dyDescent="0.2">
      <c r="A4" s="79" t="s">
        <v>71</v>
      </c>
      <c r="B4" s="79"/>
      <c r="C4" s="79"/>
      <c r="D4" s="79"/>
      <c r="E4" s="79"/>
      <c r="F4" s="79"/>
      <c r="G4" s="79"/>
      <c r="H4" s="79"/>
      <c r="I4" s="79"/>
      <c r="J4" s="49"/>
      <c r="K4" s="56"/>
      <c r="L4" s="56"/>
    </row>
    <row r="5" spans="1:14" s="48" customFormat="1" x14ac:dyDescent="0.2">
      <c r="A5" s="8"/>
      <c r="B5" s="8"/>
      <c r="C5" s="8"/>
      <c r="D5" s="51"/>
      <c r="E5" s="54"/>
      <c r="F5" s="54"/>
      <c r="G5" s="54"/>
      <c r="H5" s="54"/>
      <c r="I5" s="54"/>
      <c r="J5" s="57"/>
      <c r="K5" s="57"/>
      <c r="L5" s="57"/>
    </row>
    <row r="6" spans="1:14" x14ac:dyDescent="0.2">
      <c r="A6" s="1" t="s">
        <v>2</v>
      </c>
      <c r="B6" s="1" t="s">
        <v>5</v>
      </c>
      <c r="C6" s="76" t="s">
        <v>67</v>
      </c>
      <c r="D6" s="76" t="s">
        <v>68</v>
      </c>
      <c r="E6" s="11">
        <v>5.7529773300000003E-2</v>
      </c>
      <c r="F6" s="11">
        <v>6.7230119E-3</v>
      </c>
      <c r="G6" s="11">
        <v>0.33499807910000001</v>
      </c>
      <c r="H6" s="11">
        <v>0.89029599260000003</v>
      </c>
      <c r="I6" s="11">
        <v>0.39083109230000002</v>
      </c>
      <c r="J6" s="11">
        <f>SUM(E6*1/3,F6*1/3,H6*1/3)</f>
        <v>0.31818292593333336</v>
      </c>
      <c r="K6" s="11">
        <f>SUM(G6*1/2,I6*1/2)</f>
        <v>0.36291458570000001</v>
      </c>
      <c r="L6" s="11">
        <f>SUM(E6*1/5,F6*1/5,G6*1/5,H6*1/5,I6*1/5)</f>
        <v>0.33607558984000002</v>
      </c>
    </row>
    <row r="7" spans="1:14" x14ac:dyDescent="0.2">
      <c r="A7" s="1" t="s">
        <v>3</v>
      </c>
      <c r="B7" s="1" t="s">
        <v>6</v>
      </c>
      <c r="C7" s="76"/>
      <c r="D7" s="76"/>
      <c r="E7" s="11">
        <v>6.9727237799999994E-2</v>
      </c>
      <c r="F7" s="11">
        <v>8.6438724000000005E-3</v>
      </c>
      <c r="G7" s="11">
        <v>0.34959661930000002</v>
      </c>
      <c r="H7" s="11">
        <v>0.87258270429999996</v>
      </c>
      <c r="I7" s="11">
        <v>0.37624693279999999</v>
      </c>
      <c r="J7" s="11">
        <f>SUM(E7*1/3,F7*1/3,H7*1/3)</f>
        <v>0.31698460483333329</v>
      </c>
      <c r="K7" s="11">
        <f>SUM(G7*1/2,I7*1/2)</f>
        <v>0.36292177604999998</v>
      </c>
      <c r="L7" s="11">
        <f>SUM(E7*1/5,F7*1/5,G7*1/5,H7*1/5,I7*1/5)</f>
        <v>0.33535947332000005</v>
      </c>
    </row>
    <row r="8" spans="1:14" x14ac:dyDescent="0.2">
      <c r="A8" s="1" t="s">
        <v>4</v>
      </c>
      <c r="B8" s="1" t="s">
        <v>7</v>
      </c>
      <c r="C8" s="76"/>
      <c r="D8" s="76"/>
      <c r="E8" s="11">
        <v>2.8812910000000001E-4</v>
      </c>
      <c r="F8" s="11">
        <v>1.5366883999999999E-3</v>
      </c>
      <c r="G8" s="11">
        <v>0.25201690360000001</v>
      </c>
      <c r="H8" s="11">
        <v>0.47203997120000002</v>
      </c>
      <c r="I8" s="11">
        <v>0.4837691543</v>
      </c>
      <c r="J8" s="11">
        <f>SUM(E8*1/3,F8*1/3,H8*1/3)</f>
        <v>0.15795492956666668</v>
      </c>
      <c r="K8" s="11">
        <f>SUM(G8*1/2,I8*1/2)</f>
        <v>0.36789302894999998</v>
      </c>
      <c r="L8" s="11">
        <f>SUM(E8*1/5,F8*1/5,G8*1/5,H8*1/5,I8*1/5)</f>
        <v>0.24193016932</v>
      </c>
    </row>
    <row r="10" spans="1:14" x14ac:dyDescent="0.2">
      <c r="A10" s="1" t="s">
        <v>2</v>
      </c>
      <c r="B10" s="1" t="s">
        <v>5</v>
      </c>
      <c r="C10" s="76" t="s">
        <v>69</v>
      </c>
      <c r="D10" s="76" t="s">
        <v>70</v>
      </c>
      <c r="E10" s="11">
        <v>5.1094890499999997E-2</v>
      </c>
      <c r="F10" s="11">
        <v>9.9884747999999992E-3</v>
      </c>
      <c r="G10" s="11">
        <v>0.4692662313</v>
      </c>
      <c r="H10" s="54">
        <v>0.89344463880000002</v>
      </c>
      <c r="I10" s="11">
        <v>0.39221498240000002</v>
      </c>
      <c r="J10" s="11">
        <f>SUM(E10*1/3,F10*1/3,H10*1/3)</f>
        <v>0.31817600136666668</v>
      </c>
      <c r="K10" s="11">
        <f>SUM(G10*1/2,I10*1/2)</f>
        <v>0.43074060685000004</v>
      </c>
      <c r="L10" s="11">
        <f>SUM(E10*1/5,F10*1/5,G10*1/5,H10*1/5,I10*1/5)</f>
        <v>0.36320184355999996</v>
      </c>
    </row>
    <row r="11" spans="1:14" x14ac:dyDescent="0.2">
      <c r="A11" s="1" t="s">
        <v>3</v>
      </c>
      <c r="B11" s="1" t="s">
        <v>6</v>
      </c>
      <c r="C11" s="76"/>
      <c r="D11" s="76"/>
      <c r="E11" s="11">
        <v>2.4010757000000001E-3</v>
      </c>
      <c r="F11" s="11">
        <v>2.3050326E-3</v>
      </c>
      <c r="G11" s="11">
        <v>0.27890895119999998</v>
      </c>
      <c r="H11" s="11">
        <v>0.51170637990000001</v>
      </c>
      <c r="I11" s="11">
        <v>0.47991897360000002</v>
      </c>
      <c r="J11" s="11">
        <f>SUM(E11*1/3,F11*1/3,H11*1/3)</f>
        <v>0.17213749606666667</v>
      </c>
      <c r="K11" s="11">
        <f>SUM(G11*1/2,I11*1/2)</f>
        <v>0.37941396240000003</v>
      </c>
      <c r="L11" s="11">
        <f>SUM(E11*1/5,F11*1/5,G11*1/5,H11*1/5,I11*1/5)</f>
        <v>0.2550480826</v>
      </c>
    </row>
    <row r="12" spans="1:14" x14ac:dyDescent="0.2">
      <c r="A12" s="1" t="s">
        <v>4</v>
      </c>
      <c r="B12" s="1" t="s">
        <v>7</v>
      </c>
      <c r="C12" s="76"/>
      <c r="D12" s="76"/>
      <c r="E12" s="11">
        <v>0</v>
      </c>
      <c r="F12" s="11">
        <v>3.2654629000000001E-3</v>
      </c>
      <c r="G12" s="11">
        <v>2.53553592E-2</v>
      </c>
      <c r="H12" s="11">
        <v>0.47971639189999998</v>
      </c>
      <c r="I12" s="11">
        <v>0.46461151090000002</v>
      </c>
      <c r="J12" s="11">
        <f>SUM(E12*1/3,F12*1/3,H12*1/3)</f>
        <v>0.16099395159999999</v>
      </c>
      <c r="K12" s="11">
        <f>SUM(G12*1/2,I12*1/2)</f>
        <v>0.24498343505</v>
      </c>
      <c r="L12" s="11">
        <f>SUM(E12*1/5,F12*1/5,G12*1/5,H12*1/5,I12*1/5)</f>
        <v>0.19458974497999998</v>
      </c>
    </row>
    <row r="14" spans="1:14" x14ac:dyDescent="0.2">
      <c r="A14" s="1" t="s">
        <v>2</v>
      </c>
      <c r="B14" s="1" t="s">
        <v>5</v>
      </c>
      <c r="C14" s="76" t="s">
        <v>74</v>
      </c>
      <c r="D14" s="76" t="s">
        <v>81</v>
      </c>
      <c r="E14" s="11">
        <v>2.40651965E-2</v>
      </c>
      <c r="F14" s="11">
        <v>2.3010546000000001E-3</v>
      </c>
      <c r="G14" s="11">
        <v>0.39271332689999999</v>
      </c>
      <c r="H14" s="11">
        <v>0.50992464810000004</v>
      </c>
      <c r="I14" s="11">
        <v>0.49790253379999999</v>
      </c>
      <c r="J14" s="11">
        <f>SUM(E14*1/3,F14*1/3,H14*1/3)</f>
        <v>0.17876363306666671</v>
      </c>
      <c r="K14" s="11">
        <f>SUM(G14*1/2,I14*1/2)</f>
        <v>0.44530793034999999</v>
      </c>
      <c r="L14" s="11">
        <f>SUM(E14*1/5,F14*1/5,G14*1/5,H14*1/5,I14*1/5)</f>
        <v>0.28538135198000003</v>
      </c>
    </row>
    <row r="15" spans="1:14" x14ac:dyDescent="0.2">
      <c r="A15" s="1" t="s">
        <v>3</v>
      </c>
      <c r="B15" s="1" t="s">
        <v>6</v>
      </c>
      <c r="C15" s="76"/>
      <c r="D15" s="76"/>
      <c r="E15" s="11">
        <v>3.5474592999999999E-3</v>
      </c>
      <c r="F15" s="11">
        <v>4.7938640000000002E-4</v>
      </c>
      <c r="G15" s="11">
        <v>0.28053691279999998</v>
      </c>
      <c r="H15" s="11">
        <v>0.50108990590000002</v>
      </c>
      <c r="I15" s="11">
        <v>0.48514601400000001</v>
      </c>
      <c r="J15" s="11">
        <f>SUM(E15*1/3,F15*1/3,H15*1/3)</f>
        <v>0.16837225053333332</v>
      </c>
      <c r="K15" s="11">
        <f>SUM(G15*1/2,I15*1/2)</f>
        <v>0.38284146340000003</v>
      </c>
      <c r="L15" s="11">
        <f>SUM(E15*1/5,F15*1/5,G15*1/5,H15*1/5,I15*1/5)</f>
        <v>0.25415993568</v>
      </c>
    </row>
    <row r="16" spans="1:14" x14ac:dyDescent="0.2">
      <c r="A16" s="1" t="s">
        <v>4</v>
      </c>
      <c r="B16" s="1" t="s">
        <v>7</v>
      </c>
      <c r="C16" s="76"/>
      <c r="D16" s="76"/>
      <c r="E16" s="11">
        <v>3.8350910000000001E-4</v>
      </c>
      <c r="F16" s="11">
        <v>1.5340365000000001E-3</v>
      </c>
      <c r="G16" s="11">
        <v>0.75973154359999995</v>
      </c>
      <c r="H16" s="11">
        <v>0.51676152419999999</v>
      </c>
      <c r="I16" s="11">
        <v>0.50086111280000001</v>
      </c>
      <c r="J16" s="11">
        <f>SUM(E16*1/3,F16*1/3,H16*1/3)</f>
        <v>0.17289302326666667</v>
      </c>
      <c r="K16" s="11">
        <f>SUM(G16*1/2,I16*1/2)</f>
        <v>0.63029632820000003</v>
      </c>
      <c r="L16" s="11">
        <f>SUM(E16*1/5,F16*1/5,G16*1/5,H16*1/5,I16*1/5)</f>
        <v>0.35585434523999993</v>
      </c>
    </row>
    <row r="18" spans="1:12" s="63" customFormat="1" x14ac:dyDescent="0.2">
      <c r="A18" s="63" t="s">
        <v>2</v>
      </c>
      <c r="B18" s="63" t="s">
        <v>5</v>
      </c>
      <c r="C18" s="76" t="s">
        <v>80</v>
      </c>
      <c r="D18" s="76" t="s">
        <v>79</v>
      </c>
      <c r="E18" s="64">
        <v>3.5474592999999999E-3</v>
      </c>
      <c r="F18" s="64">
        <v>2.3969319E-3</v>
      </c>
      <c r="G18" s="64">
        <v>0.68648130389999995</v>
      </c>
      <c r="H18" s="64">
        <v>0.73279006160000004</v>
      </c>
      <c r="I18" s="65">
        <v>0.70502058919999999</v>
      </c>
      <c r="J18" s="64">
        <f>SUM(E18*1/3,F18*1/3,H18*1/3)</f>
        <v>0.2462448176</v>
      </c>
      <c r="K18" s="64">
        <f>SUM(G18*1/2,I18*1/2)</f>
        <v>0.69575094655000003</v>
      </c>
      <c r="L18" s="64">
        <f>SUM(E18*1/5,F18*1/5,G18*1/5,H18*1/5,I18*1/5)</f>
        <v>0.42604726918000002</v>
      </c>
    </row>
    <row r="19" spans="1:12" x14ac:dyDescent="0.2">
      <c r="A19" s="1" t="s">
        <v>3</v>
      </c>
      <c r="B19" s="1" t="s">
        <v>6</v>
      </c>
      <c r="C19" s="76"/>
      <c r="D19" s="76"/>
      <c r="E19" s="11">
        <v>3.0680729000000001E-3</v>
      </c>
      <c r="F19" s="11">
        <v>2.5886864999999999E-3</v>
      </c>
      <c r="G19" s="11">
        <v>0.51505273250000005</v>
      </c>
      <c r="H19" s="11">
        <v>0.60190347580000003</v>
      </c>
      <c r="I19" s="11">
        <v>0.52140253719999996</v>
      </c>
      <c r="J19" s="11">
        <f>SUM(E19*1/3,F19*1/3,H19*1/3)</f>
        <v>0.20252007840000003</v>
      </c>
      <c r="K19" s="11">
        <f>SUM(G19*1/2,I19*1/2)</f>
        <v>0.51822763485000001</v>
      </c>
      <c r="L19" s="11">
        <f>SUM(E19*1/5,F19*1/5,G19*1/5,H19*1/5,I19*1/5)</f>
        <v>0.32880310098000004</v>
      </c>
    </row>
    <row r="20" spans="1:12" x14ac:dyDescent="0.2">
      <c r="A20" s="1" t="s">
        <v>4</v>
      </c>
      <c r="B20" s="1" t="s">
        <v>7</v>
      </c>
      <c r="C20" s="76"/>
      <c r="D20" s="76"/>
      <c r="E20" s="11">
        <v>2.876318E-4</v>
      </c>
      <c r="F20" s="11">
        <v>1.0546500999999999E-3</v>
      </c>
      <c r="G20" s="11">
        <v>3.79674017E-2</v>
      </c>
      <c r="H20" s="11">
        <v>0.48511697329999998</v>
      </c>
      <c r="I20" s="11">
        <v>0.43752120239999998</v>
      </c>
      <c r="J20" s="11">
        <f>SUM(E20*1/3,F20*1/3,H20*1/3)</f>
        <v>0.16215308506666665</v>
      </c>
      <c r="K20" s="11">
        <f>SUM(G20*1/2,I20*1/2)</f>
        <v>0.23774430204999999</v>
      </c>
      <c r="L20" s="11">
        <f>SUM(E20*1/5,F20*1/5,G20*1/5,H20*1/5,I20*1/5)</f>
        <v>0.19238957186</v>
      </c>
    </row>
    <row r="21" spans="1:12" x14ac:dyDescent="0.2">
      <c r="C21" s="50"/>
    </row>
    <row r="22" spans="1:12" x14ac:dyDescent="0.2">
      <c r="A22" s="1" t="s">
        <v>2</v>
      </c>
      <c r="B22" s="1" t="s">
        <v>5</v>
      </c>
      <c r="C22" s="76" t="s">
        <v>72</v>
      </c>
      <c r="D22" s="76" t="s">
        <v>73</v>
      </c>
      <c r="E22" s="11">
        <v>8.2742090099999999E-2</v>
      </c>
      <c r="F22" s="11">
        <v>1.6107382600000001E-2</v>
      </c>
      <c r="G22" s="11">
        <v>0.4293384468</v>
      </c>
      <c r="H22" s="11">
        <v>0.86991481869999998</v>
      </c>
      <c r="I22" s="11">
        <v>0.40505853110000001</v>
      </c>
      <c r="J22" s="11">
        <f>SUM(E22*1/3,F22*1/3,H22*1/3)</f>
        <v>0.32292143046666666</v>
      </c>
      <c r="K22" s="11">
        <f>SUM(G22*1/2,I22*1/2)</f>
        <v>0.41719848895</v>
      </c>
      <c r="L22" s="11">
        <f>SUM(E22*1/5,F22*1/5,G22*1/5,H22*1/5,I22*1/5)</f>
        <v>0.36063225385999997</v>
      </c>
    </row>
    <row r="23" spans="1:12" x14ac:dyDescent="0.2">
      <c r="A23" s="1" t="s">
        <v>3</v>
      </c>
      <c r="B23" s="1" t="s">
        <v>6</v>
      </c>
      <c r="C23" s="76"/>
      <c r="D23" s="76"/>
      <c r="E23" s="11">
        <v>3.1639501E-3</v>
      </c>
      <c r="F23" s="11">
        <v>1.4381591999999999E-3</v>
      </c>
      <c r="G23" s="11">
        <v>0.26596356659999998</v>
      </c>
      <c r="H23" s="11">
        <v>0.48894575070000001</v>
      </c>
      <c r="I23" s="11">
        <v>0.47475261759999998</v>
      </c>
      <c r="J23" s="11">
        <f>SUM(E23*1/3,F23*1/3,H23*1/3)</f>
        <v>0.16451595333333333</v>
      </c>
      <c r="K23" s="11">
        <f>SUM(G23*1/2,I23*1/2)</f>
        <v>0.37035809209999998</v>
      </c>
      <c r="L23" s="11">
        <f>SUM(E23*1/5,F23*1/5,G23*1/5,H23*1/5,I23*1/5)</f>
        <v>0.24685280883999999</v>
      </c>
    </row>
    <row r="24" spans="1:12" x14ac:dyDescent="0.2">
      <c r="A24" s="1" t="s">
        <v>4</v>
      </c>
      <c r="B24" s="1" t="s">
        <v>7</v>
      </c>
      <c r="C24" s="76"/>
      <c r="D24" s="76"/>
      <c r="E24" s="11">
        <v>1.917546E-4</v>
      </c>
      <c r="F24" s="11">
        <v>4.5062319999999998E-3</v>
      </c>
      <c r="G24" s="54">
        <v>0.79884947269999995</v>
      </c>
      <c r="H24" s="11">
        <v>0.53313908909999996</v>
      </c>
      <c r="I24" s="11">
        <v>0.50595402629999997</v>
      </c>
      <c r="J24" s="11">
        <f>SUM(E24*1/3,F24*1/3,H24*1/3)</f>
        <v>0.17927902523333333</v>
      </c>
      <c r="K24" s="11">
        <f>SUM(G24*1/2,I24*1/2)</f>
        <v>0.65240174949999996</v>
      </c>
      <c r="L24" s="11">
        <f>SUM(E24*1/5,F24*1/5,G24*1/5,H24*1/5,I24*1/5)</f>
        <v>0.36852811494000004</v>
      </c>
    </row>
    <row r="26" spans="1:12" x14ac:dyDescent="0.2">
      <c r="A26" s="1" t="s">
        <v>2</v>
      </c>
      <c r="B26" s="1" t="s">
        <v>5</v>
      </c>
      <c r="C26" s="76" t="s">
        <v>77</v>
      </c>
      <c r="D26" s="76" t="s">
        <v>75</v>
      </c>
      <c r="E26" s="11">
        <v>4.0172579100000001E-2</v>
      </c>
      <c r="F26" s="11">
        <v>3.6433364999999998E-3</v>
      </c>
      <c r="G26" s="11">
        <v>0.31735378720000001</v>
      </c>
      <c r="H26" s="11">
        <v>0.66111389819999999</v>
      </c>
      <c r="I26" s="11">
        <v>0.4401939782</v>
      </c>
      <c r="J26" s="11">
        <f>SUM(E26*1/3,F26*1/3,H26*1/3)</f>
        <v>0.2349766046</v>
      </c>
      <c r="K26" s="11">
        <f>SUM(G26*1/2,I26*1/2)</f>
        <v>0.37877388270000001</v>
      </c>
      <c r="L26" s="11">
        <f>SUM(E26*1/5,F26*1/5,G26*1/5,H26*1/5,I26*1/5)</f>
        <v>0.29249551584</v>
      </c>
    </row>
    <row r="27" spans="1:12" x14ac:dyDescent="0.2">
      <c r="A27" s="1" t="s">
        <v>3</v>
      </c>
      <c r="B27" s="1" t="s">
        <v>6</v>
      </c>
      <c r="C27" s="76"/>
      <c r="D27" s="76"/>
      <c r="E27" s="11">
        <v>1.70661553E-2</v>
      </c>
      <c r="F27" s="11">
        <v>2.1093001000000002E-3</v>
      </c>
      <c r="G27" s="11">
        <v>0.37142857140000002</v>
      </c>
      <c r="H27" s="11">
        <v>0.52517104670000003</v>
      </c>
      <c r="I27" s="11">
        <v>0.51303041270000005</v>
      </c>
      <c r="J27" s="11">
        <f>SUM(E27*1/3,F27*1/3,H27*1/3)</f>
        <v>0.18144883403333334</v>
      </c>
      <c r="K27" s="11">
        <f>SUM(G27*1/2,I27*1/2)</f>
        <v>0.44222949205000006</v>
      </c>
      <c r="L27" s="11">
        <f>SUM(E27*1/5,F27*1/5,G27*1/5,H27*1/5,I27*1/5)</f>
        <v>0.28576109723999998</v>
      </c>
    </row>
    <row r="28" spans="1:12" x14ac:dyDescent="0.2">
      <c r="A28" s="1" t="s">
        <v>4</v>
      </c>
      <c r="B28" s="1" t="s">
        <v>7</v>
      </c>
      <c r="C28" s="76"/>
      <c r="D28" s="76"/>
      <c r="E28" s="11">
        <v>6.7114089999999996E-4</v>
      </c>
      <c r="F28" s="11">
        <v>6.7114089999999996E-4</v>
      </c>
      <c r="G28" s="11">
        <v>0.36260786189999999</v>
      </c>
      <c r="H28" s="11">
        <v>0.50055614439999996</v>
      </c>
      <c r="I28" s="11">
        <v>0.47861351050000001</v>
      </c>
      <c r="J28" s="11">
        <f>SUM(E28*1/3,F28*1/3,H28*1/3)</f>
        <v>0.16729947539999998</v>
      </c>
      <c r="K28" s="11">
        <f>SUM(G28*1/2,I28*1/2)</f>
        <v>0.42061068619999997</v>
      </c>
      <c r="L28" s="11">
        <f>SUM(E28*1/5,F28*1/5,G28*1/5,H28*1/5,I28*1/5)</f>
        <v>0.26862395971999997</v>
      </c>
    </row>
    <row r="30" spans="1:12" x14ac:dyDescent="0.2">
      <c r="A30" s="1" t="s">
        <v>2</v>
      </c>
      <c r="B30" s="1" t="s">
        <v>5</v>
      </c>
      <c r="C30" s="76" t="s">
        <v>78</v>
      </c>
      <c r="D30" s="76" t="s">
        <v>76</v>
      </c>
      <c r="E30" s="11">
        <v>7.3250239699999997E-2</v>
      </c>
      <c r="F30" s="11">
        <v>1.36145733E-2</v>
      </c>
      <c r="G30" s="11">
        <v>0.104506232</v>
      </c>
      <c r="H30" s="11">
        <v>0.59471253369999999</v>
      </c>
      <c r="I30" s="11">
        <v>0.36557713930000002</v>
      </c>
      <c r="J30" s="11">
        <f>SUM(E30*1/3,F30*1/3,H30*1/3)</f>
        <v>0.22719244890000001</v>
      </c>
      <c r="K30" s="11">
        <f>SUM(G30*1/2,I30*1/2)</f>
        <v>0.23504168565</v>
      </c>
      <c r="L30" s="11">
        <f>SUM(E30*1/5,F30*1/5,G30*1/5,H30*1/5,I30*1/5)</f>
        <v>0.23033214360000001</v>
      </c>
    </row>
    <row r="31" spans="1:12" x14ac:dyDescent="0.2">
      <c r="A31" s="1" t="s">
        <v>3</v>
      </c>
      <c r="B31" s="1" t="s">
        <v>6</v>
      </c>
      <c r="C31" s="76"/>
      <c r="D31" s="76"/>
      <c r="E31" s="11">
        <v>7.2866731000000001E-3</v>
      </c>
      <c r="F31" s="11">
        <v>2.4928092E-3</v>
      </c>
      <c r="G31" s="11">
        <v>0.40325982739999999</v>
      </c>
      <c r="H31" s="11">
        <v>0.50791210740000003</v>
      </c>
      <c r="I31" s="11">
        <v>0.49345779690000002</v>
      </c>
      <c r="J31" s="11">
        <f>SUM(E31*1/3,F31*1/3,H31*1/3)</f>
        <v>0.17256386323333334</v>
      </c>
      <c r="K31" s="11">
        <f>SUM(G31*1/2,I31*1/2)</f>
        <v>0.44835881215000001</v>
      </c>
      <c r="L31" s="11">
        <f>SUM(E31*1/5,F31*1/5,G31*1/5,H31*1/5,I31*1/5)</f>
        <v>0.28288184280000001</v>
      </c>
    </row>
    <row r="32" spans="1:12" x14ac:dyDescent="0.2">
      <c r="A32" s="1" t="s">
        <v>4</v>
      </c>
      <c r="B32" s="1" t="s">
        <v>7</v>
      </c>
      <c r="C32" s="76"/>
      <c r="D32" s="76"/>
      <c r="E32" s="11">
        <v>0</v>
      </c>
      <c r="F32" s="11">
        <v>1.6299137E-3</v>
      </c>
      <c r="G32" s="11">
        <v>0.25790987539999999</v>
      </c>
      <c r="H32" s="11">
        <v>0.48580648799999998</v>
      </c>
      <c r="I32" s="11">
        <v>0.48836600340000003</v>
      </c>
      <c r="J32" s="11">
        <f>SUM(E32*1/3,F32*1/3,H32*1/3)</f>
        <v>0.16247880056666666</v>
      </c>
      <c r="K32" s="11">
        <f>SUM(G32*1/2,I32*1/2)</f>
        <v>0.37313793940000001</v>
      </c>
      <c r="L32" s="11">
        <f>SUM(E32*1/5,F32*1/5,G32*1/5,H32*1/5,I32*1/5)</f>
        <v>0.24674245610000001</v>
      </c>
    </row>
    <row r="35" spans="1:14" s="14" customFormat="1" x14ac:dyDescent="0.2">
      <c r="A35" s="77" t="s">
        <v>59</v>
      </c>
      <c r="B35" s="77"/>
      <c r="C35" s="77"/>
      <c r="D35" s="77"/>
      <c r="E35" s="16">
        <f t="shared" ref="E35:L35" si="0">MAX(E5:E33)</f>
        <v>8.2742090099999999E-2</v>
      </c>
      <c r="F35" s="16">
        <f t="shared" si="0"/>
        <v>1.6107382600000001E-2</v>
      </c>
      <c r="G35" s="16">
        <f t="shared" si="0"/>
        <v>0.79884947269999995</v>
      </c>
      <c r="H35" s="16">
        <f t="shared" si="0"/>
        <v>0.89344463880000002</v>
      </c>
      <c r="I35" s="16">
        <f t="shared" si="0"/>
        <v>0.70502058919999999</v>
      </c>
      <c r="J35" s="16">
        <f t="shared" si="0"/>
        <v>0.32292143046666666</v>
      </c>
      <c r="K35" s="16">
        <f t="shared" si="0"/>
        <v>0.69575094655000003</v>
      </c>
      <c r="L35" s="16">
        <f t="shared" si="0"/>
        <v>0.42604726918000002</v>
      </c>
      <c r="M35" s="16"/>
      <c r="N35" s="17"/>
    </row>
    <row r="36" spans="1:14" s="52" customFormat="1" x14ac:dyDescent="0.2">
      <c r="A36" s="82" t="s">
        <v>60</v>
      </c>
      <c r="B36" s="82"/>
      <c r="C36" s="82"/>
      <c r="D36" s="82"/>
      <c r="E36" s="29">
        <f t="shared" ref="E36:L36" si="1">AVERAGE(E6:E33)</f>
        <v>2.0975477057142849E-2</v>
      </c>
      <c r="F36" s="29">
        <f t="shared" si="1"/>
        <v>4.2395303095238103E-3</v>
      </c>
      <c r="G36" s="29">
        <f t="shared" si="1"/>
        <v>0.36637347650000002</v>
      </c>
      <c r="H36" s="29">
        <f t="shared" si="1"/>
        <v>0.60164974021428563</v>
      </c>
      <c r="I36" s="29">
        <f t="shared" si="1"/>
        <v>0.47145003103333344</v>
      </c>
      <c r="J36" s="29">
        <f t="shared" si="1"/>
        <v>0.20895491586031745</v>
      </c>
      <c r="K36" s="29">
        <f t="shared" si="1"/>
        <v>0.41891175376666662</v>
      </c>
      <c r="L36" s="29">
        <f t="shared" si="1"/>
        <v>0.29293765102285718</v>
      </c>
      <c r="M36" s="29"/>
      <c r="N36" s="58"/>
    </row>
    <row r="38" spans="1:14" s="47" customFormat="1" x14ac:dyDescent="0.2">
      <c r="A38" s="79" t="s">
        <v>86</v>
      </c>
      <c r="B38" s="79"/>
      <c r="C38" s="79"/>
      <c r="D38" s="79"/>
      <c r="E38" s="79"/>
      <c r="F38" s="79"/>
      <c r="G38" s="79"/>
      <c r="H38" s="79"/>
      <c r="I38" s="79"/>
      <c r="J38" s="49"/>
      <c r="K38" s="56"/>
      <c r="L38" s="56"/>
    </row>
    <row r="39" spans="1:14" s="48" customFormat="1" x14ac:dyDescent="0.2">
      <c r="A39" s="8"/>
      <c r="B39" s="8"/>
      <c r="C39" s="8"/>
      <c r="D39" s="51"/>
      <c r="E39" s="54"/>
      <c r="F39" s="54"/>
      <c r="G39" s="54"/>
      <c r="H39" s="54"/>
      <c r="I39" s="54"/>
      <c r="J39" s="57"/>
      <c r="K39" s="57"/>
      <c r="L39" s="57"/>
    </row>
    <row r="40" spans="1:14" x14ac:dyDescent="0.2">
      <c r="A40" s="1" t="s">
        <v>2</v>
      </c>
      <c r="B40" s="1" t="s">
        <v>5</v>
      </c>
      <c r="C40" s="76" t="s">
        <v>87</v>
      </c>
      <c r="D40" s="76" t="s">
        <v>68</v>
      </c>
      <c r="E40" s="11">
        <v>3.2885905999999999E-2</v>
      </c>
      <c r="F40" s="11">
        <v>6.2320229999999997E-3</v>
      </c>
      <c r="G40" s="11">
        <v>0.50393096839999996</v>
      </c>
      <c r="H40" s="11">
        <v>0.77736178700000003</v>
      </c>
      <c r="I40" s="11">
        <v>0.43943819899999997</v>
      </c>
      <c r="J40" s="11">
        <f>SUM(E40*1/3,F40*1/3,H40*1/3)</f>
        <v>0.27215990533333334</v>
      </c>
      <c r="K40" s="11">
        <f>SUM(G40*1/2,I40*1/2)</f>
        <v>0.47168458369999999</v>
      </c>
      <c r="L40" s="11">
        <f>SUM(E40*1/5,F40*1/5,G40*1/5,H40*1/5,I40*1/5)</f>
        <v>0.35196977668000007</v>
      </c>
    </row>
    <row r="41" spans="1:14" x14ac:dyDescent="0.2">
      <c r="A41" s="1" t="s">
        <v>3</v>
      </c>
      <c r="B41" s="1" t="s">
        <v>6</v>
      </c>
      <c r="C41" s="76"/>
      <c r="D41" s="76"/>
      <c r="E41" s="11">
        <v>1.42857143E-2</v>
      </c>
      <c r="F41" s="11">
        <v>6.5196548E-3</v>
      </c>
      <c r="G41" s="11">
        <v>0.41303930970000002</v>
      </c>
      <c r="H41" s="11">
        <v>0.6898911875</v>
      </c>
      <c r="I41" s="11">
        <v>0.46205572309999998</v>
      </c>
      <c r="J41" s="11">
        <f>SUM(E41*1/3,F41*1/3,H41*1/3)</f>
        <v>0.23689885219999998</v>
      </c>
      <c r="K41" s="11">
        <f>SUM(G41*1/2,I41*1/2)</f>
        <v>0.4375475164</v>
      </c>
      <c r="L41" s="11">
        <f>SUM(E41*1/5,F41*1/5,G41*1/5,H41*1/5,I41*1/5)</f>
        <v>0.31715831787999998</v>
      </c>
    </row>
    <row r="42" spans="1:14" x14ac:dyDescent="0.2">
      <c r="A42" s="1" t="s">
        <v>4</v>
      </c>
      <c r="B42" s="1" t="s">
        <v>7</v>
      </c>
      <c r="C42" s="76"/>
      <c r="D42" s="76"/>
      <c r="E42" s="11">
        <v>3.8350910000000001E-4</v>
      </c>
      <c r="F42" s="11">
        <v>1.4381591999999999E-3</v>
      </c>
      <c r="G42" s="11">
        <v>9.7794822599999998E-2</v>
      </c>
      <c r="H42" s="11">
        <v>0.45026455949999999</v>
      </c>
      <c r="I42" s="11">
        <v>0.46414172419999999</v>
      </c>
      <c r="J42" s="11">
        <f>SUM(E42*1/3,F42*1/3,H42*1/3)</f>
        <v>0.15069540926666666</v>
      </c>
      <c r="K42" s="11">
        <f>SUM(G42*1/2,I42*1/2)</f>
        <v>0.28096827339999997</v>
      </c>
      <c r="L42" s="11">
        <f>SUM(E42*1/5,F42*1/5,G42*1/5,H42*1/5,I42*1/5)</f>
        <v>0.20280455491999999</v>
      </c>
    </row>
    <row r="44" spans="1:14" x14ac:dyDescent="0.2">
      <c r="A44" s="1" t="s">
        <v>2</v>
      </c>
      <c r="B44" s="1" t="s">
        <v>5</v>
      </c>
      <c r="C44" s="76" t="s">
        <v>88</v>
      </c>
      <c r="D44" s="76" t="s">
        <v>70</v>
      </c>
      <c r="E44" s="11">
        <v>4.0364333699999998E-2</v>
      </c>
      <c r="F44" s="11">
        <v>3.3557047E-3</v>
      </c>
      <c r="G44" s="11">
        <v>0.32425695110000002</v>
      </c>
      <c r="H44" s="11">
        <v>0.70605234920000004</v>
      </c>
      <c r="I44" s="11">
        <v>0.43611723260000002</v>
      </c>
      <c r="J44" s="11">
        <f>SUM(E44*1/3,F44*1/3,H44*1/3)</f>
        <v>0.24992412920000001</v>
      </c>
      <c r="K44" s="11">
        <f>SUM(G44*1/2,I44*1/2)</f>
        <v>0.38018709184999999</v>
      </c>
      <c r="L44" s="11">
        <f>SUM(E44*1/5,F44*1/5,G44*1/5,H44*1/5,I44*1/5)</f>
        <v>0.30202931426000001</v>
      </c>
    </row>
    <row r="45" spans="1:14" x14ac:dyDescent="0.2">
      <c r="A45" s="1" t="s">
        <v>3</v>
      </c>
      <c r="B45" s="1" t="s">
        <v>6</v>
      </c>
      <c r="C45" s="76"/>
      <c r="D45" s="76"/>
      <c r="E45" s="11">
        <v>2.8475551299999999E-2</v>
      </c>
      <c r="F45" s="11">
        <v>1.0546500999999999E-3</v>
      </c>
      <c r="G45" s="11">
        <v>0.5637583893</v>
      </c>
      <c r="H45" s="54">
        <v>0.85501700719999996</v>
      </c>
      <c r="I45" s="11">
        <v>0.43641871859999998</v>
      </c>
      <c r="J45" s="54">
        <f>SUM(E45*1/3,F45*1/3,H45*1/3)</f>
        <v>0.29484906953333329</v>
      </c>
      <c r="K45" s="11">
        <f>SUM(G45*1/2,I45*1/2)</f>
        <v>0.50008855394999996</v>
      </c>
      <c r="L45" s="11">
        <f>SUM(E45*1/5,F45*1/5,G45*1/5,H45*1/5,I45*1/5)</f>
        <v>0.37694486329999999</v>
      </c>
    </row>
    <row r="46" spans="1:14" x14ac:dyDescent="0.2">
      <c r="A46" s="1" t="s">
        <v>4</v>
      </c>
      <c r="B46" s="1" t="s">
        <v>7</v>
      </c>
      <c r="C46" s="76"/>
      <c r="D46" s="76"/>
      <c r="E46" s="11">
        <v>1.917546E-4</v>
      </c>
      <c r="F46" s="11">
        <v>2.1093001000000002E-3</v>
      </c>
      <c r="G46" s="11">
        <v>0.81073825499999996</v>
      </c>
      <c r="H46" s="11">
        <v>0.50746971929999996</v>
      </c>
      <c r="I46" s="11">
        <v>0.48343524840000002</v>
      </c>
      <c r="J46" s="11">
        <f>SUM(E46*1/3,F46*1/3,H46*1/3)</f>
        <v>0.16992359133333332</v>
      </c>
      <c r="K46" s="11">
        <f>SUM(G46*1/2,I46*1/2)</f>
        <v>0.64708675169999996</v>
      </c>
      <c r="L46" s="11">
        <f>SUM(E46*1/5,F46*1/5,G46*1/5,H46*1/5,I46*1/5)</f>
        <v>0.36078885547999995</v>
      </c>
    </row>
    <row r="48" spans="1:14" x14ac:dyDescent="0.2">
      <c r="A48" s="1" t="s">
        <v>2</v>
      </c>
      <c r="B48" s="1" t="s">
        <v>5</v>
      </c>
      <c r="C48" s="76" t="s">
        <v>89</v>
      </c>
      <c r="D48" s="76" t="s">
        <v>81</v>
      </c>
      <c r="E48" s="11">
        <v>2.1572387299999999E-2</v>
      </c>
      <c r="F48" s="11">
        <v>1.725791E-3</v>
      </c>
      <c r="G48" s="11">
        <v>0.21380632790000001</v>
      </c>
      <c r="H48" s="11">
        <v>0.4996014688</v>
      </c>
      <c r="I48" s="11">
        <v>0.49415116780000001</v>
      </c>
      <c r="J48" s="11">
        <f>SUM(E48*1/3,F48*1/3,H48*1/3)</f>
        <v>0.17429988236666666</v>
      </c>
      <c r="K48" s="11">
        <f>SUM(G48*1/2,I48*1/2)</f>
        <v>0.35397874785</v>
      </c>
      <c r="L48" s="11">
        <f>SUM(E48*1/5,F48*1/5,G48*1/5,H48*1/5,I48*1/5)</f>
        <v>0.24617142856000002</v>
      </c>
    </row>
    <row r="49" spans="1:12" x14ac:dyDescent="0.2">
      <c r="A49" s="1" t="s">
        <v>3</v>
      </c>
      <c r="B49" s="1" t="s">
        <v>6</v>
      </c>
      <c r="C49" s="76"/>
      <c r="D49" s="76"/>
      <c r="E49" s="11">
        <v>6.3279002999999997E-3</v>
      </c>
      <c r="F49" s="11">
        <v>3.5474592999999999E-3</v>
      </c>
      <c r="G49" s="11">
        <v>0.35973154359999998</v>
      </c>
      <c r="H49" s="11">
        <v>0.50229272930000002</v>
      </c>
      <c r="I49" s="11">
        <v>0.48684262210000001</v>
      </c>
      <c r="J49" s="11">
        <f>SUM(E49*1/3,F49*1/3,H49*1/3)</f>
        <v>0.1707226963</v>
      </c>
      <c r="K49" s="11">
        <f>SUM(G49*1/2,I49*1/2)</f>
        <v>0.42328708285</v>
      </c>
      <c r="L49" s="11">
        <f>SUM(E49*1/5,F49*1/5,G49*1/5,H49*1/5,I49*1/5)</f>
        <v>0.27174845092</v>
      </c>
    </row>
    <row r="50" spans="1:12" x14ac:dyDescent="0.2">
      <c r="A50" s="1" t="s">
        <v>4</v>
      </c>
      <c r="B50" s="1" t="s">
        <v>7</v>
      </c>
      <c r="C50" s="76"/>
      <c r="D50" s="76"/>
      <c r="E50" s="11">
        <v>2.876318E-4</v>
      </c>
      <c r="F50" s="11">
        <v>1.725791E-3</v>
      </c>
      <c r="G50" s="11">
        <v>0.67919463089999998</v>
      </c>
      <c r="H50" s="11">
        <v>0.50784208630000005</v>
      </c>
      <c r="I50" s="11">
        <v>0.4972537568</v>
      </c>
      <c r="J50" s="11">
        <f>SUM(E50*1/3,F50*1/3,H50*1/3)</f>
        <v>0.16995183636666669</v>
      </c>
      <c r="K50" s="11">
        <f>SUM(G50*1/2,I50*1/2)</f>
        <v>0.58822419385000002</v>
      </c>
      <c r="L50" s="11">
        <f>SUM(E50*1/5,F50*1/5,G50*1/5,H50*1/5,I50*1/5)</f>
        <v>0.33726077935999998</v>
      </c>
    </row>
    <row r="52" spans="1:12" s="63" customFormat="1" x14ac:dyDescent="0.2">
      <c r="A52" s="63" t="s">
        <v>2</v>
      </c>
      <c r="B52" s="63" t="s">
        <v>5</v>
      </c>
      <c r="C52" s="76" t="s">
        <v>90</v>
      </c>
      <c r="D52" s="76" t="s">
        <v>79</v>
      </c>
      <c r="E52" s="64">
        <v>1.23681687E-2</v>
      </c>
      <c r="F52" s="64">
        <v>2.6845637999999999E-3</v>
      </c>
      <c r="G52" s="64">
        <v>0.70795781400000002</v>
      </c>
      <c r="H52" s="64">
        <v>0.71314872139999996</v>
      </c>
      <c r="I52" s="65">
        <v>0.64805542540000005</v>
      </c>
      <c r="J52" s="64">
        <f>SUM(E52*1/3,F52*1/3,H52*1/3)</f>
        <v>0.24273381796666665</v>
      </c>
      <c r="K52" s="65">
        <f>SUM(G52*1/2,I52*1/2)</f>
        <v>0.67800661970000009</v>
      </c>
      <c r="L52" s="65">
        <f>SUM(E52*1/5,F52*1/5,G52*1/5,H52*1/5,I52*1/5)</f>
        <v>0.41684293866000005</v>
      </c>
    </row>
    <row r="53" spans="1:12" x14ac:dyDescent="0.2">
      <c r="A53" s="1" t="s">
        <v>3</v>
      </c>
      <c r="B53" s="1" t="s">
        <v>6</v>
      </c>
      <c r="C53" s="76"/>
      <c r="D53" s="76"/>
      <c r="E53" s="11">
        <v>2.0134227999999998E-3</v>
      </c>
      <c r="F53" s="11">
        <v>7.6701829999999995E-4</v>
      </c>
      <c r="G53" s="11">
        <v>0.27823585810000001</v>
      </c>
      <c r="H53" s="11">
        <v>0.50316636969999995</v>
      </c>
      <c r="I53" s="11">
        <v>0.47961395620000002</v>
      </c>
      <c r="J53" s="11">
        <f>SUM(E53*1/3,F53*1/3,H53*1/3)</f>
        <v>0.16864893693333333</v>
      </c>
      <c r="K53" s="11">
        <f>SUM(G53*1/2,I53*1/2)</f>
        <v>0.37892490715000005</v>
      </c>
      <c r="L53" s="11">
        <f>SUM(E53*1/5,F53*1/5,G53*1/5,H53*1/5,I53*1/5)</f>
        <v>0.25275932501999998</v>
      </c>
    </row>
    <row r="54" spans="1:12" x14ac:dyDescent="0.2">
      <c r="A54" s="1" t="s">
        <v>4</v>
      </c>
      <c r="B54" s="1" t="s">
        <v>7</v>
      </c>
      <c r="C54" s="76"/>
      <c r="D54" s="76"/>
      <c r="E54" s="11">
        <v>1.917546E-4</v>
      </c>
      <c r="F54" s="11">
        <v>1.1505273E-3</v>
      </c>
      <c r="G54" s="11">
        <v>2.9146692200000001E-2</v>
      </c>
      <c r="H54" s="11">
        <v>0.37034050689999998</v>
      </c>
      <c r="I54" s="11">
        <v>0.31939047450000002</v>
      </c>
      <c r="J54" s="11">
        <f>SUM(E54*1/3,F54*1/3,H54*1/3)</f>
        <v>0.12389426293333332</v>
      </c>
      <c r="K54" s="11">
        <f>SUM(G54*1/2,I54*1/2)</f>
        <v>0.17426858335000001</v>
      </c>
      <c r="L54" s="11">
        <f>SUM(E54*1/5,F54*1/5,G54*1/5,H54*1/5,I54*1/5)</f>
        <v>0.14404399109999999</v>
      </c>
    </row>
    <row r="55" spans="1:12" x14ac:dyDescent="0.2">
      <c r="C55" s="50"/>
    </row>
    <row r="56" spans="1:12" x14ac:dyDescent="0.2">
      <c r="A56" s="1" t="s">
        <v>2</v>
      </c>
      <c r="B56" s="1" t="s">
        <v>5</v>
      </c>
      <c r="C56" s="76" t="s">
        <v>91</v>
      </c>
      <c r="D56" s="76" t="s">
        <v>73</v>
      </c>
      <c r="E56" s="11">
        <v>9.0220517700000002E-2</v>
      </c>
      <c r="F56" s="11">
        <v>1.2655800599999999E-2</v>
      </c>
      <c r="G56" s="11">
        <v>0.24256951099999999</v>
      </c>
      <c r="H56" s="11">
        <v>0.74882737740000005</v>
      </c>
      <c r="I56" s="11">
        <v>0.41265332459999998</v>
      </c>
      <c r="J56" s="11">
        <f>SUM(E56*1/3,F56*1/3,H56*1/3)</f>
        <v>0.28390123190000005</v>
      </c>
      <c r="K56" s="11">
        <f>SUM(G56*1/2,I56*1/2)</f>
        <v>0.32761141779999997</v>
      </c>
      <c r="L56" s="11">
        <f>SUM(E56*1/5,F56*1/5,G56*1/5,H56*1/5,I56*1/5)</f>
        <v>0.30138530626000004</v>
      </c>
    </row>
    <row r="57" spans="1:12" x14ac:dyDescent="0.2">
      <c r="A57" s="1" t="s">
        <v>3</v>
      </c>
      <c r="B57" s="1" t="s">
        <v>6</v>
      </c>
      <c r="C57" s="76"/>
      <c r="D57" s="76"/>
      <c r="E57" s="11">
        <v>1.9558964500000001E-2</v>
      </c>
      <c r="F57" s="11">
        <v>3.7392138000000002E-3</v>
      </c>
      <c r="G57" s="11">
        <v>0.42703739210000002</v>
      </c>
      <c r="H57" s="11">
        <v>0.54984708800000004</v>
      </c>
      <c r="I57" s="11">
        <v>0.54163438399999997</v>
      </c>
      <c r="J57" s="11">
        <f>SUM(E57*1/3,F57*1/3,H57*1/3)</f>
        <v>0.1910484221</v>
      </c>
      <c r="K57" s="11">
        <f>SUM(G57*1/2,I57*1/2)</f>
        <v>0.48433588805</v>
      </c>
      <c r="L57" s="11">
        <f>SUM(E57*1/5,F57*1/5,G57*1/5,H57*1/5,I57*1/5)</f>
        <v>0.30836340847999999</v>
      </c>
    </row>
    <row r="58" spans="1:12" x14ac:dyDescent="0.2">
      <c r="A58" s="1" t="s">
        <v>4</v>
      </c>
      <c r="B58" s="1" t="s">
        <v>7</v>
      </c>
      <c r="C58" s="76"/>
      <c r="D58" s="76"/>
      <c r="E58" s="11">
        <v>0</v>
      </c>
      <c r="F58" s="11">
        <v>2.8763183999999998E-3</v>
      </c>
      <c r="G58" s="54">
        <v>0.81802492810000005</v>
      </c>
      <c r="H58" s="11">
        <v>0.52913612850000002</v>
      </c>
      <c r="I58" s="11">
        <v>0.49455716719999998</v>
      </c>
      <c r="J58" s="11">
        <f>SUM(E58*1/3,F58*1/3,H58*1/3)</f>
        <v>0.17733748230000002</v>
      </c>
      <c r="K58" s="11">
        <f>SUM(G58*1/2,I58*1/2)</f>
        <v>0.65629104765000001</v>
      </c>
      <c r="L58" s="11">
        <f>SUM(E58*1/5,F58*1/5,G58*1/5,H58*1/5,I58*1/5)</f>
        <v>0.36891890843999997</v>
      </c>
    </row>
    <row r="60" spans="1:12" x14ac:dyDescent="0.2">
      <c r="A60" s="1" t="s">
        <v>2</v>
      </c>
      <c r="B60" s="1" t="s">
        <v>5</v>
      </c>
      <c r="C60" s="76" t="s">
        <v>92</v>
      </c>
      <c r="D60" s="76" t="s">
        <v>75</v>
      </c>
      <c r="E60" s="11">
        <v>2.47363375E-2</v>
      </c>
      <c r="F60" s="11">
        <v>4.3144773999999999E-3</v>
      </c>
      <c r="G60" s="11">
        <v>0.60268456380000002</v>
      </c>
      <c r="H60" s="11">
        <v>0.72139929479999998</v>
      </c>
      <c r="I60" s="11">
        <v>0.61438299269999996</v>
      </c>
      <c r="J60" s="11">
        <f>SUM(E60*1/3,F60*1/3,H60*1/3)</f>
        <v>0.25015003656666668</v>
      </c>
      <c r="K60" s="11">
        <f>SUM(G60*1/2,I60*1/2)</f>
        <v>0.60853377824999999</v>
      </c>
      <c r="L60" s="11">
        <f>SUM(E60*1/5,F60*1/5,G60*1/5,H60*1/5,I60*1/5)</f>
        <v>0.39350353323999998</v>
      </c>
    </row>
    <row r="61" spans="1:12" x14ac:dyDescent="0.2">
      <c r="A61" s="1" t="s">
        <v>3</v>
      </c>
      <c r="B61" s="1" t="s">
        <v>6</v>
      </c>
      <c r="C61" s="76"/>
      <c r="D61" s="76"/>
      <c r="E61" s="11">
        <v>4.4103546999999998E-3</v>
      </c>
      <c r="F61" s="11">
        <v>1.1505274000000001E-3</v>
      </c>
      <c r="G61" s="11">
        <v>0.34458293379999999</v>
      </c>
      <c r="H61" s="11">
        <v>0.49885476839999998</v>
      </c>
      <c r="I61" s="11">
        <v>0.50106482159999999</v>
      </c>
      <c r="J61" s="11">
        <f>SUM(E61*1/3,F61*1/3,H61*1/3)</f>
        <v>0.16813855016666665</v>
      </c>
      <c r="K61" s="11">
        <f>SUM(G61*1/2,I61*1/2)</f>
        <v>0.42282387769999996</v>
      </c>
      <c r="L61" s="11">
        <f>SUM(E61*1/5,F61*1/5,G61*1/5,H61*1/5,I61*1/5)</f>
        <v>0.27001268117999999</v>
      </c>
    </row>
    <row r="62" spans="1:12" x14ac:dyDescent="0.2">
      <c r="A62" s="1" t="s">
        <v>4</v>
      </c>
      <c r="B62" s="1" t="s">
        <v>7</v>
      </c>
      <c r="C62" s="76"/>
      <c r="D62" s="76"/>
      <c r="E62" s="11">
        <v>2.8763183000000002E-3</v>
      </c>
      <c r="F62" s="11">
        <v>2.0134228999999998E-3</v>
      </c>
      <c r="G62" s="11">
        <v>0.51831255990000002</v>
      </c>
      <c r="H62" s="11">
        <v>0.62305881009999997</v>
      </c>
      <c r="I62" s="11">
        <v>0.5466724329</v>
      </c>
      <c r="J62" s="11">
        <f>SUM(E62*1/3,F62*1/3,H62*1/3)</f>
        <v>0.20931618376666664</v>
      </c>
      <c r="K62" s="11">
        <f>SUM(G62*1/2,I62*1/2)</f>
        <v>0.53249249639999996</v>
      </c>
      <c r="L62" s="11">
        <f>SUM(E62*1/5,F62*1/5,G62*1/5,H62*1/5,I62*1/5)</f>
        <v>0.33858670881999997</v>
      </c>
    </row>
    <row r="64" spans="1:12" x14ac:dyDescent="0.2">
      <c r="A64" s="1" t="s">
        <v>2</v>
      </c>
      <c r="B64" s="1" t="s">
        <v>5</v>
      </c>
      <c r="C64" s="76" t="s">
        <v>93</v>
      </c>
      <c r="D64" s="76" t="s">
        <v>76</v>
      </c>
      <c r="E64" s="11">
        <v>5.1006711400000002E-2</v>
      </c>
      <c r="F64" s="11">
        <v>1.75455417E-2</v>
      </c>
      <c r="G64" s="11">
        <v>0.14726749759999999</v>
      </c>
      <c r="H64" s="11">
        <v>0.56786657309999999</v>
      </c>
      <c r="I64" s="11">
        <v>0.33699644699999998</v>
      </c>
      <c r="J64" s="11">
        <f>SUM(E64*1/3,F64*1/3,H64*1/3)</f>
        <v>0.21213960873333335</v>
      </c>
      <c r="K64" s="11">
        <f>SUM(G64*1/2,I64*1/2)</f>
        <v>0.2421319723</v>
      </c>
      <c r="L64" s="11">
        <f>SUM(E64*1/5,F64*1/5,G64*1/5,H64*1/5,I64*1/5)</f>
        <v>0.22413655416</v>
      </c>
    </row>
    <row r="65" spans="1:14" x14ac:dyDescent="0.2">
      <c r="A65" s="1" t="s">
        <v>3</v>
      </c>
      <c r="B65" s="1" t="s">
        <v>6</v>
      </c>
      <c r="C65" s="76"/>
      <c r="D65" s="76"/>
      <c r="E65" s="11">
        <v>8.6289548999999993E-3</v>
      </c>
      <c r="F65" s="11">
        <v>2.3010547000000001E-3</v>
      </c>
      <c r="G65" s="11">
        <v>0.37871524449999999</v>
      </c>
      <c r="H65" s="11">
        <v>0.5041079812</v>
      </c>
      <c r="I65" s="11">
        <v>0.48737746469999998</v>
      </c>
      <c r="J65" s="11">
        <f>SUM(E65*1/3,F65*1/3,H65*1/3)</f>
        <v>0.17167933026666668</v>
      </c>
      <c r="K65" s="11">
        <f>SUM(G65*1/2,I65*1/2)</f>
        <v>0.43304635459999996</v>
      </c>
      <c r="L65" s="11">
        <f>SUM(E65*1/5,F65*1/5,G65*1/5,H65*1/5,I65*1/5)</f>
        <v>0.27622614000000001</v>
      </c>
    </row>
    <row r="66" spans="1:14" x14ac:dyDescent="0.2">
      <c r="A66" s="1" t="s">
        <v>4</v>
      </c>
      <c r="B66" s="1" t="s">
        <v>7</v>
      </c>
      <c r="C66" s="76"/>
      <c r="D66" s="76"/>
      <c r="E66" s="11">
        <v>1.9175455000000001E-3</v>
      </c>
      <c r="F66" s="11">
        <v>4.9856184E-3</v>
      </c>
      <c r="G66" s="11">
        <v>0.2151486098</v>
      </c>
      <c r="H66" s="11">
        <v>0.57976032990000004</v>
      </c>
      <c r="I66" s="11">
        <v>0.46813920380000001</v>
      </c>
      <c r="J66" s="11">
        <f>SUM(E66*1/3,F66*1/3,H66*1/3)</f>
        <v>0.19555449793333335</v>
      </c>
      <c r="K66" s="11">
        <f>SUM(G66*1/2,I66*1/2)</f>
        <v>0.34164390680000001</v>
      </c>
      <c r="L66" s="11">
        <f>SUM(E66*1/5,F66*1/5,G66*1/5,H66*1/5,I66*1/5)</f>
        <v>0.25399026148000003</v>
      </c>
    </row>
    <row r="69" spans="1:14" s="14" customFormat="1" x14ac:dyDescent="0.2">
      <c r="A69" s="77" t="s">
        <v>59</v>
      </c>
      <c r="B69" s="77"/>
      <c r="C69" s="77"/>
      <c r="D69" s="77"/>
      <c r="E69" s="16">
        <f t="shared" ref="E69:L69" si="2">MAX(E39:E67)</f>
        <v>9.0220517700000002E-2</v>
      </c>
      <c r="F69" s="16">
        <f t="shared" si="2"/>
        <v>1.75455417E-2</v>
      </c>
      <c r="G69" s="16">
        <f t="shared" si="2"/>
        <v>0.81802492810000005</v>
      </c>
      <c r="H69" s="16">
        <f t="shared" si="2"/>
        <v>0.85501700719999996</v>
      </c>
      <c r="I69" s="16">
        <f t="shared" si="2"/>
        <v>0.64805542540000005</v>
      </c>
      <c r="J69" s="16">
        <f>MAX(J39:J67)</f>
        <v>0.29484906953333329</v>
      </c>
      <c r="K69" s="16">
        <f t="shared" si="2"/>
        <v>0.67800661970000009</v>
      </c>
      <c r="L69" s="16">
        <f t="shared" si="2"/>
        <v>0.41684293866000005</v>
      </c>
      <c r="M69" s="16"/>
      <c r="N69" s="17"/>
    </row>
    <row r="70" spans="1:14" s="52" customFormat="1" x14ac:dyDescent="0.2">
      <c r="A70" s="82" t="s">
        <v>60</v>
      </c>
      <c r="B70" s="82"/>
      <c r="C70" s="82"/>
      <c r="D70" s="82"/>
      <c r="E70" s="29">
        <f t="shared" ref="E70:L70" si="3">AVERAGE(E40:E67)</f>
        <v>1.7271606619047621E-2</v>
      </c>
      <c r="F70" s="29">
        <f t="shared" si="3"/>
        <v>3.9948865666666663E-3</v>
      </c>
      <c r="G70" s="29">
        <f t="shared" si="3"/>
        <v>0.41313975254285717</v>
      </c>
      <c r="H70" s="29">
        <f t="shared" si="3"/>
        <v>0.5907288973095236</v>
      </c>
      <c r="I70" s="29">
        <f t="shared" si="3"/>
        <v>0.47859011843809524</v>
      </c>
      <c r="J70" s="29">
        <f t="shared" si="3"/>
        <v>0.20399846349841269</v>
      </c>
      <c r="K70" s="29">
        <f t="shared" si="3"/>
        <v>0.44586493549047612</v>
      </c>
      <c r="L70" s="29">
        <f t="shared" si="3"/>
        <v>0.30074505229523812</v>
      </c>
      <c r="M70" s="29"/>
      <c r="N70" s="58"/>
    </row>
    <row r="72" spans="1:14" s="47" customFormat="1" x14ac:dyDescent="0.2">
      <c r="A72" s="79" t="s">
        <v>94</v>
      </c>
      <c r="B72" s="79"/>
      <c r="C72" s="79"/>
      <c r="D72" s="79"/>
      <c r="E72" s="79"/>
      <c r="F72" s="79"/>
      <c r="G72" s="79"/>
      <c r="H72" s="79"/>
      <c r="I72" s="79"/>
      <c r="J72" s="49"/>
      <c r="K72" s="56"/>
      <c r="L72" s="56"/>
    </row>
    <row r="73" spans="1:14" s="48" customFormat="1" x14ac:dyDescent="0.2">
      <c r="A73" s="8"/>
      <c r="B73" s="8"/>
      <c r="C73" s="8"/>
      <c r="D73" s="51"/>
      <c r="E73" s="54"/>
      <c r="F73" s="54"/>
      <c r="G73" s="54"/>
      <c r="H73" s="54"/>
      <c r="I73" s="54"/>
      <c r="J73" s="57"/>
      <c r="K73" s="57"/>
      <c r="L73" s="57"/>
    </row>
    <row r="74" spans="1:14" x14ac:dyDescent="0.2">
      <c r="A74" s="1" t="s">
        <v>2</v>
      </c>
      <c r="B74" s="1" t="s">
        <v>5</v>
      </c>
      <c r="C74" s="76" t="s">
        <v>95</v>
      </c>
      <c r="D74" s="76" t="s">
        <v>68</v>
      </c>
      <c r="E74" s="11">
        <v>3.1423644399999999E-2</v>
      </c>
      <c r="F74" s="11">
        <v>4.5027783000000004E-3</v>
      </c>
      <c r="G74" s="11">
        <v>0.31423644379999999</v>
      </c>
      <c r="H74" s="54">
        <v>0.87912838900000001</v>
      </c>
      <c r="I74" s="11">
        <v>0.37861748220000002</v>
      </c>
      <c r="J74" s="54">
        <f>SUM(E74*1/3,F74*1/3,H74*1/3)</f>
        <v>0.30501827056666669</v>
      </c>
      <c r="K74" s="11">
        <f>SUM(G74*1/2,I74*1/2)</f>
        <v>0.34642696299999998</v>
      </c>
      <c r="L74" s="11">
        <f>SUM(E74*1/5,F74*1/5,G74*1/5,H74*1/5,I74*1/5)</f>
        <v>0.32158174754000002</v>
      </c>
    </row>
    <row r="75" spans="1:14" x14ac:dyDescent="0.2">
      <c r="A75" s="1" t="s">
        <v>3</v>
      </c>
      <c r="B75" s="1" t="s">
        <v>6</v>
      </c>
      <c r="C75" s="76"/>
      <c r="D75" s="76"/>
      <c r="E75" s="11">
        <v>8.8139489999999997E-3</v>
      </c>
      <c r="F75" s="11">
        <v>2.3950948999999998E-3</v>
      </c>
      <c r="G75" s="11">
        <v>0.36865299870000001</v>
      </c>
      <c r="H75" s="11">
        <v>0.73505614159999999</v>
      </c>
      <c r="I75" s="11">
        <v>0.438803202</v>
      </c>
      <c r="J75" s="11">
        <f>SUM(E75*1/3,F75*1/3,H75*1/3)</f>
        <v>0.24875506183333332</v>
      </c>
      <c r="K75" s="11">
        <f>SUM(G75*1/2,I75*1/2)</f>
        <v>0.40372810035000001</v>
      </c>
      <c r="L75" s="11">
        <f>SUM(E75*1/5,F75*1/5,G75*1/5,H75*1/5,I75*1/5)</f>
        <v>0.31074427723999998</v>
      </c>
    </row>
    <row r="76" spans="1:14" x14ac:dyDescent="0.2">
      <c r="A76" s="1" t="s">
        <v>4</v>
      </c>
      <c r="B76" s="1" t="s">
        <v>7</v>
      </c>
      <c r="C76" s="76"/>
      <c r="D76" s="76"/>
      <c r="E76" s="11">
        <v>1.9160760000000001E-4</v>
      </c>
      <c r="F76" s="11">
        <v>1.9160759E-3</v>
      </c>
      <c r="G76" s="11">
        <v>4.4261352699999999E-2</v>
      </c>
      <c r="H76" s="11">
        <v>0.4812790361</v>
      </c>
      <c r="I76" s="11">
        <v>0.47962761110000002</v>
      </c>
      <c r="J76" s="11">
        <f>SUM(E76*1/3,F76*1/3,H76*1/3)</f>
        <v>0.16112890653333334</v>
      </c>
      <c r="K76" s="11">
        <f>SUM(G76*1/2,I76*1/2)</f>
        <v>0.26194448190000003</v>
      </c>
      <c r="L76" s="11">
        <f>SUM(E76*1/5,F76*1/5,G76*1/5,H76*1/5,I76*1/5)</f>
        <v>0.20145513668000001</v>
      </c>
    </row>
    <row r="78" spans="1:14" x14ac:dyDescent="0.2">
      <c r="A78" s="1" t="s">
        <v>2</v>
      </c>
      <c r="B78" s="1" t="s">
        <v>5</v>
      </c>
      <c r="C78" s="76" t="s">
        <v>96</v>
      </c>
      <c r="D78" s="76" t="s">
        <v>70</v>
      </c>
      <c r="E78" s="11">
        <v>2.7399884999999999E-2</v>
      </c>
      <c r="F78" s="11">
        <v>2.0693619399999998E-2</v>
      </c>
      <c r="G78" s="11">
        <v>0.62962253310000005</v>
      </c>
      <c r="H78" s="11">
        <v>0.85414416559999995</v>
      </c>
      <c r="I78" s="11">
        <v>0.45041272119999998</v>
      </c>
      <c r="J78" s="11">
        <f>SUM(E78*1/3,F78*1/3,H78*1/3)</f>
        <v>0.30074588999999996</v>
      </c>
      <c r="K78" s="11">
        <f>SUM(G78*1/2,I78*1/2)</f>
        <v>0.54001762715000001</v>
      </c>
      <c r="L78" s="11">
        <f>SUM(E78*1/5,F78*1/5,G78*1/5,H78*1/5,I78*1/5)</f>
        <v>0.39645458486000001</v>
      </c>
    </row>
    <row r="79" spans="1:14" x14ac:dyDescent="0.2">
      <c r="A79" s="1" t="s">
        <v>3</v>
      </c>
      <c r="B79" s="1" t="s">
        <v>6</v>
      </c>
      <c r="C79" s="76"/>
      <c r="D79" s="76"/>
      <c r="E79" s="11">
        <v>3.4489365999999999E-3</v>
      </c>
      <c r="F79" s="11">
        <v>2.77831E-3</v>
      </c>
      <c r="G79" s="11">
        <v>0.28319601459999999</v>
      </c>
      <c r="H79" s="11">
        <v>0.55856684919999999</v>
      </c>
      <c r="I79" s="11">
        <v>0.48412258870000002</v>
      </c>
      <c r="J79" s="11">
        <f>SUM(E79*1/3,F79*1/3,H79*1/3)</f>
        <v>0.1882646986</v>
      </c>
      <c r="K79" s="11">
        <f>SUM(G79*1/2,I79*1/2)</f>
        <v>0.38365930165000001</v>
      </c>
      <c r="L79" s="11">
        <f>SUM(E79*1/5,F79*1/5,G79*1/5,H79*1/5,I79*1/5)</f>
        <v>0.26642253981999997</v>
      </c>
    </row>
    <row r="80" spans="1:14" x14ac:dyDescent="0.2">
      <c r="A80" s="1" t="s">
        <v>4</v>
      </c>
      <c r="B80" s="1" t="s">
        <v>7</v>
      </c>
      <c r="C80" s="76"/>
      <c r="D80" s="76"/>
      <c r="E80" s="62">
        <v>4.7901900000000002E-4</v>
      </c>
      <c r="F80" s="11">
        <v>9.5803800000000003E-4</v>
      </c>
      <c r="G80" s="11">
        <v>0.1588426902</v>
      </c>
      <c r="H80" s="11">
        <v>0.51150557910000005</v>
      </c>
      <c r="I80" s="11">
        <v>0.47634846359999999</v>
      </c>
      <c r="J80" s="11">
        <f>SUM(E80*1/3,F80*1/3,H80*1/3)</f>
        <v>0.17098087870000001</v>
      </c>
      <c r="K80" s="11">
        <f>SUM(G80*1/2,I80*1/2)</f>
        <v>0.31759557690000001</v>
      </c>
      <c r="L80" s="11">
        <f>SUM(E80*1/5,F80*1/5,G80*1/5,H80*1/5,I80*1/5)</f>
        <v>0.22962675798000001</v>
      </c>
    </row>
    <row r="82" spans="1:12" x14ac:dyDescent="0.2">
      <c r="A82" s="1" t="s">
        <v>2</v>
      </c>
      <c r="B82" s="1" t="s">
        <v>5</v>
      </c>
      <c r="C82" s="76" t="s">
        <v>97</v>
      </c>
      <c r="D82" s="76" t="s">
        <v>81</v>
      </c>
      <c r="E82" s="11">
        <v>1.41789615E-2</v>
      </c>
      <c r="F82" s="11">
        <v>3.8321517E-3</v>
      </c>
      <c r="G82" s="11">
        <v>0.2103851313</v>
      </c>
      <c r="H82" s="11">
        <v>0.49344389389999999</v>
      </c>
      <c r="I82" s="11">
        <v>0.4601922155</v>
      </c>
      <c r="J82" s="11">
        <f>SUM(E82*1/3,F82*1/3,H82*1/3)</f>
        <v>0.17048500236666667</v>
      </c>
      <c r="K82" s="11">
        <f>SUM(G82*1/2,I82*1/2)</f>
        <v>0.33528867340000001</v>
      </c>
      <c r="L82" s="11">
        <f>SUM(E82*1/5,F82*1/5,G82*1/5,H82*1/5,I82*1/5)</f>
        <v>0.23640647078000002</v>
      </c>
    </row>
    <row r="83" spans="1:12" x14ac:dyDescent="0.2">
      <c r="A83" s="1" t="s">
        <v>3</v>
      </c>
      <c r="B83" s="1" t="s">
        <v>6</v>
      </c>
      <c r="C83" s="76"/>
      <c r="D83" s="76"/>
      <c r="E83" s="11">
        <v>4.3111707000000003E-3</v>
      </c>
      <c r="F83" s="11">
        <v>2.5867024999999999E-3</v>
      </c>
      <c r="G83" s="11">
        <v>0.31347001340000002</v>
      </c>
      <c r="H83" s="11">
        <v>0.49771053859999997</v>
      </c>
      <c r="I83" s="11">
        <v>0.49578055669999999</v>
      </c>
      <c r="J83" s="11">
        <f>SUM(E83*1/3,F83*1/3,H83*1/3)</f>
        <v>0.16820280393333331</v>
      </c>
      <c r="K83" s="11">
        <f>SUM(G83*1/2,I83*1/2)</f>
        <v>0.40462528505000001</v>
      </c>
      <c r="L83" s="11">
        <f>SUM(E83*1/5,F83*1/5,G83*1/5,H83*1/5,I83*1/5)</f>
        <v>0.26277179638000003</v>
      </c>
    </row>
    <row r="84" spans="1:12" x14ac:dyDescent="0.2">
      <c r="A84" s="1" t="s">
        <v>4</v>
      </c>
      <c r="B84" s="1" t="s">
        <v>7</v>
      </c>
      <c r="C84" s="76"/>
      <c r="D84" s="76"/>
      <c r="E84" s="11">
        <v>2.1076835000000001E-3</v>
      </c>
      <c r="F84" s="11">
        <v>2.4908986999999999E-3</v>
      </c>
      <c r="G84" s="11">
        <v>0.46062464069999998</v>
      </c>
      <c r="H84" s="11">
        <v>0.47368173790000001</v>
      </c>
      <c r="I84" s="11">
        <v>0.48311123919999999</v>
      </c>
      <c r="J84" s="11">
        <f>SUM(E84*1/3,F84*1/3,H84*1/3)</f>
        <v>0.15942677336666666</v>
      </c>
      <c r="K84" s="11">
        <f>SUM(G84*1/2,I84*1/2)</f>
        <v>0.47186793994999998</v>
      </c>
      <c r="L84" s="11">
        <f>SUM(E84*1/5,F84*1/5,G84*1/5,H84*1/5,I84*1/5)</f>
        <v>0.28440324</v>
      </c>
    </row>
    <row r="86" spans="1:12" s="42" customFormat="1" x14ac:dyDescent="0.2">
      <c r="A86" s="42" t="s">
        <v>2</v>
      </c>
      <c r="B86" s="42" t="s">
        <v>5</v>
      </c>
      <c r="C86" s="76" t="s">
        <v>98</v>
      </c>
      <c r="D86" s="76" t="s">
        <v>79</v>
      </c>
      <c r="E86" s="67">
        <v>1.9543973900000001E-2</v>
      </c>
      <c r="F86" s="67">
        <v>8.0475187000000007E-3</v>
      </c>
      <c r="G86" s="67">
        <v>0.7549338954</v>
      </c>
      <c r="H86" s="67">
        <v>0.80678453409999995</v>
      </c>
      <c r="I86" s="40">
        <v>0.68024081950000004</v>
      </c>
      <c r="J86" s="67">
        <f>SUM(E86*1/3,F86*1/3,H86*1/3)</f>
        <v>0.27812534223333329</v>
      </c>
      <c r="K86" s="67">
        <f>SUM(G86*1/2,I86*1/2)</f>
        <v>0.71758735745000002</v>
      </c>
      <c r="L86" s="67">
        <f>SUM(E86*1/5,F86*1/5,G86*1/5,H86*1/5,I86*1/5)</f>
        <v>0.45391014831999998</v>
      </c>
    </row>
    <row r="87" spans="1:12" x14ac:dyDescent="0.2">
      <c r="A87" s="1" t="s">
        <v>3</v>
      </c>
      <c r="B87" s="1" t="s">
        <v>6</v>
      </c>
      <c r="C87" s="76"/>
      <c r="D87" s="76"/>
      <c r="E87" s="11">
        <v>8.6223409999999995E-4</v>
      </c>
      <c r="F87" s="11">
        <v>4.8859934999999997E-3</v>
      </c>
      <c r="G87" s="11">
        <v>0.42057865490000002</v>
      </c>
      <c r="H87" s="11">
        <v>0.55166023060000002</v>
      </c>
      <c r="I87" s="11">
        <v>0.49520081519999998</v>
      </c>
      <c r="J87" s="11">
        <f>SUM(E87*1/3,F87*1/3,H87*1/3)</f>
        <v>0.18580281940000001</v>
      </c>
      <c r="K87" s="11">
        <f>SUM(G87*1/2,I87*1/2)</f>
        <v>0.45788973504999997</v>
      </c>
      <c r="L87" s="54">
        <f>SUM(E87*1/5,F87*1/5,G87*1/5,H87*1/5,I87*1/5)</f>
        <v>0.29463758565999998</v>
      </c>
    </row>
    <row r="88" spans="1:12" x14ac:dyDescent="0.2">
      <c r="A88" s="1" t="s">
        <v>4</v>
      </c>
      <c r="B88" s="1" t="s">
        <v>7</v>
      </c>
      <c r="C88" s="76"/>
      <c r="D88" s="76"/>
      <c r="E88" s="11">
        <v>3.8321520000000002E-4</v>
      </c>
      <c r="F88" s="11">
        <v>2.1076835000000001E-3</v>
      </c>
      <c r="G88" s="54">
        <v>0.78884843839999996</v>
      </c>
      <c r="H88" s="11">
        <v>0.62326305770000001</v>
      </c>
      <c r="I88" s="11">
        <v>0.64865882360000005</v>
      </c>
      <c r="J88" s="11">
        <f>SUM(E88*1/3,F88*1/3,H88*1/3)</f>
        <v>0.20858465213333333</v>
      </c>
      <c r="K88" s="54">
        <f>SUM(G88*1/2,I88*1/2)</f>
        <v>0.718753631</v>
      </c>
      <c r="L88" s="11">
        <f>SUM(E88*1/5,F88*1/5,G88*1/5,H88*1/5,I88*1/5)</f>
        <v>0.41265224367999997</v>
      </c>
    </row>
    <row r="89" spans="1:12" x14ac:dyDescent="0.2">
      <c r="C89" s="50"/>
    </row>
    <row r="90" spans="1:12" x14ac:dyDescent="0.2">
      <c r="A90" s="1" t="s">
        <v>2</v>
      </c>
      <c r="B90" s="1" t="s">
        <v>5</v>
      </c>
      <c r="C90" s="76" t="s">
        <v>99</v>
      </c>
      <c r="D90" s="76" t="s">
        <v>73</v>
      </c>
      <c r="E90" s="11">
        <v>4.4165548999999998E-2</v>
      </c>
      <c r="F90" s="11">
        <v>2.8166315300000001E-2</v>
      </c>
      <c r="G90" s="11">
        <v>0.21670818159999999</v>
      </c>
      <c r="H90" s="11">
        <v>0.73706262420000002</v>
      </c>
      <c r="I90" s="11">
        <v>0.3688066217</v>
      </c>
      <c r="J90" s="11">
        <f>SUM(E90*1/3,F90*1/3,H90*1/3)</f>
        <v>0.26979816283333335</v>
      </c>
      <c r="K90" s="11">
        <f>SUM(G90*1/2,I90*1/2)</f>
        <v>0.29275740164999997</v>
      </c>
      <c r="L90" s="11">
        <f>SUM(E90*1/5,F90*1/5,G90*1/5,H90*1/5,I90*1/5)</f>
        <v>0.27898185836</v>
      </c>
    </row>
    <row r="91" spans="1:12" x14ac:dyDescent="0.2">
      <c r="A91" s="1" t="s">
        <v>3</v>
      </c>
      <c r="B91" s="1" t="s">
        <v>6</v>
      </c>
      <c r="C91" s="76"/>
      <c r="D91" s="76"/>
      <c r="E91" s="11">
        <v>1.59034298E-2</v>
      </c>
      <c r="F91" s="11">
        <v>2.0118797000000001E-3</v>
      </c>
      <c r="G91" s="11">
        <v>0.45717570419999998</v>
      </c>
      <c r="H91" s="11">
        <v>0.59033409329999997</v>
      </c>
      <c r="I91" s="11">
        <v>0.51348317779999997</v>
      </c>
      <c r="J91" s="11">
        <f>SUM(E91*1/3,F91*1/3,H91*1/3)</f>
        <v>0.20274980093333334</v>
      </c>
      <c r="K91" s="11">
        <f>SUM(G91*1/2,I91*1/2)</f>
        <v>0.48532944099999997</v>
      </c>
      <c r="L91" s="11">
        <f>SUM(E91*1/5,F91*1/5,G91*1/5,H91*1/5,I91*1/5)</f>
        <v>0.31578165695999999</v>
      </c>
    </row>
    <row r="92" spans="1:12" x14ac:dyDescent="0.2">
      <c r="A92" s="1" t="s">
        <v>4</v>
      </c>
      <c r="B92" s="1" t="s">
        <v>7</v>
      </c>
      <c r="C92" s="76"/>
      <c r="D92" s="76"/>
      <c r="E92" s="11">
        <v>0</v>
      </c>
      <c r="F92" s="11">
        <v>3.2573290000000002E-3</v>
      </c>
      <c r="G92" s="11">
        <v>0.1509867791</v>
      </c>
      <c r="H92" s="11">
        <v>0.50179758129999996</v>
      </c>
      <c r="I92" s="11">
        <v>0.47369240169999999</v>
      </c>
      <c r="J92" s="11">
        <f>SUM(E92*1/3,F92*1/3,H92*1/3)</f>
        <v>0.16835163676666667</v>
      </c>
      <c r="K92" s="11">
        <f>SUM(G92*1/2,I92*1/2)</f>
        <v>0.31233959039999998</v>
      </c>
      <c r="L92" s="11">
        <f>SUM(E92*1/5,F92*1/5,G92*1/5,H92*1/5,I92*1/5)</f>
        <v>0.22594681822000001</v>
      </c>
    </row>
    <row r="94" spans="1:12" x14ac:dyDescent="0.2">
      <c r="A94" s="1" t="s">
        <v>2</v>
      </c>
      <c r="B94" s="1" t="s">
        <v>5</v>
      </c>
      <c r="C94" s="76" t="s">
        <v>100</v>
      </c>
      <c r="D94" s="76" t="s">
        <v>75</v>
      </c>
      <c r="E94" s="11">
        <v>2.6537650900000001E-2</v>
      </c>
      <c r="F94" s="11">
        <v>6.2272465999999999E-3</v>
      </c>
      <c r="G94" s="11">
        <v>0.30906303889999998</v>
      </c>
      <c r="H94" s="11">
        <v>0.65261878269999996</v>
      </c>
      <c r="I94" s="11">
        <v>0.4517924425</v>
      </c>
      <c r="J94" s="11">
        <f>SUM(E94*1/3,F94*1/3,H94*1/3)</f>
        <v>0.22846122673333333</v>
      </c>
      <c r="K94" s="11">
        <f>SUM(G94*1/2,I94*1/2)</f>
        <v>0.38042774069999996</v>
      </c>
      <c r="L94" s="11">
        <f>SUM(E94*1/5,F94*1/5,G94*1/5,H94*1/5,I94*1/5)</f>
        <v>0.28924783231999995</v>
      </c>
    </row>
    <row r="95" spans="1:12" x14ac:dyDescent="0.2">
      <c r="A95" s="1" t="s">
        <v>3</v>
      </c>
      <c r="B95" s="1" t="s">
        <v>6</v>
      </c>
      <c r="C95" s="76"/>
      <c r="D95" s="76"/>
      <c r="E95" s="11">
        <v>9.4845755999999996E-3</v>
      </c>
      <c r="F95" s="11">
        <v>1.2933512100000001E-2</v>
      </c>
      <c r="G95" s="11">
        <v>0.35543207510000002</v>
      </c>
      <c r="H95" s="11">
        <v>0.51356868389999999</v>
      </c>
      <c r="I95" s="11">
        <v>0.4931959434</v>
      </c>
      <c r="J95" s="11">
        <f>SUM(E95*1/3,F95*1/3,H95*1/3)</f>
        <v>0.17866225719999998</v>
      </c>
      <c r="K95" s="11">
        <f>SUM(G95*1/2,I95*1/2)</f>
        <v>0.42431400925000001</v>
      </c>
      <c r="L95" s="11">
        <f>SUM(E95*1/5,F95*1/5,G95*1/5,H95*1/5,I95*1/5)</f>
        <v>0.27692295802</v>
      </c>
    </row>
    <row r="96" spans="1:12" x14ac:dyDescent="0.2">
      <c r="A96" s="1" t="s">
        <v>4</v>
      </c>
      <c r="B96" s="1" t="s">
        <v>7</v>
      </c>
      <c r="C96" s="76"/>
      <c r="D96" s="76"/>
      <c r="E96" s="11">
        <v>1.9160760000000001E-4</v>
      </c>
      <c r="F96" s="11">
        <v>2.5867024999999999E-3</v>
      </c>
      <c r="G96" s="11">
        <v>0.67005173399999995</v>
      </c>
      <c r="H96" s="11">
        <v>0.52593068870000004</v>
      </c>
      <c r="I96" s="11">
        <v>0.4729815544</v>
      </c>
      <c r="J96" s="11">
        <f>SUM(E96*1/3,F96*1/3,H96*1/3)</f>
        <v>0.17623633293333332</v>
      </c>
      <c r="K96" s="11">
        <f>SUM(G96*1/2,I96*1/2)</f>
        <v>0.57151664419999992</v>
      </c>
      <c r="L96" s="11">
        <f>SUM(E96*1/5,F96*1/5,G96*1/5,H96*1/5,I96*1/5)</f>
        <v>0.33434845743999997</v>
      </c>
    </row>
    <row r="98" spans="1:14" x14ac:dyDescent="0.2">
      <c r="A98" s="1" t="s">
        <v>2</v>
      </c>
      <c r="B98" s="1" t="s">
        <v>5</v>
      </c>
      <c r="C98" s="76" t="s">
        <v>101</v>
      </c>
      <c r="D98" s="76" t="s">
        <v>76</v>
      </c>
      <c r="E98" s="11">
        <v>6.6104618E-3</v>
      </c>
      <c r="F98" s="11">
        <v>3.9279555000000001E-3</v>
      </c>
      <c r="G98" s="11">
        <v>0.18585936</v>
      </c>
      <c r="H98" s="11">
        <v>0.43336886330000002</v>
      </c>
      <c r="I98" s="11">
        <v>0.37657463089999998</v>
      </c>
      <c r="J98" s="11">
        <f>SUM(E98*1/3,F98*1/3,H98*1/3)</f>
        <v>0.14796909353333332</v>
      </c>
      <c r="K98" s="11">
        <f>SUM(G98*1/2,I98*1/2)</f>
        <v>0.28121699545000001</v>
      </c>
      <c r="L98" s="11">
        <f>SUM(E98*1/5,F98*1/5,G98*1/5,H98*1/5,I98*1/5)</f>
        <v>0.2012682543</v>
      </c>
    </row>
    <row r="99" spans="1:14" x14ac:dyDescent="0.2">
      <c r="A99" s="1" t="s">
        <v>3</v>
      </c>
      <c r="B99" s="1" t="s">
        <v>6</v>
      </c>
      <c r="C99" s="76"/>
      <c r="D99" s="76"/>
      <c r="E99" s="11">
        <v>8.9097528000000002E-3</v>
      </c>
      <c r="F99" s="11">
        <v>3.3531327999999998E-3</v>
      </c>
      <c r="G99" s="11">
        <v>0.36022226480000002</v>
      </c>
      <c r="H99" s="11">
        <v>0.49774400880000003</v>
      </c>
      <c r="I99" s="11">
        <v>0.48779777699999999</v>
      </c>
      <c r="J99" s="11">
        <f>SUM(E99*1/3,F99*1/3,H99*1/3)</f>
        <v>0.17000229813333334</v>
      </c>
      <c r="K99" s="11">
        <f>SUM(G99*1/2,I99*1/2)</f>
        <v>0.42401002090000001</v>
      </c>
      <c r="L99" s="11">
        <f>SUM(E99*1/5,F99*1/5,G99*1/5,H99*1/5,I99*1/5)</f>
        <v>0.27160538724</v>
      </c>
    </row>
    <row r="100" spans="1:14" x14ac:dyDescent="0.2">
      <c r="A100" s="1" t="s">
        <v>4</v>
      </c>
      <c r="B100" s="1" t="s">
        <v>7</v>
      </c>
      <c r="C100" s="76"/>
      <c r="D100" s="76"/>
      <c r="E100" s="11">
        <v>1.6286645000000001E-3</v>
      </c>
      <c r="F100" s="11">
        <v>8.9097528999999998E-3</v>
      </c>
      <c r="G100" s="11">
        <v>0.70549913779999995</v>
      </c>
      <c r="H100" s="11">
        <v>0.56517988880000003</v>
      </c>
      <c r="I100" s="11">
        <v>0.50091959919999995</v>
      </c>
      <c r="J100" s="11">
        <f>SUM(E100*1/3,F100*1/3,H100*1/3)</f>
        <v>0.19190610206666667</v>
      </c>
      <c r="K100" s="11">
        <f>SUM(G100*1/2,I100*1/2)</f>
        <v>0.60320936849999995</v>
      </c>
      <c r="L100" s="11">
        <f>SUM(E100*1/5,F100*1/5,G100*1/5,H100*1/5,I100*1/5)</f>
        <v>0.35642740864</v>
      </c>
    </row>
    <row r="103" spans="1:14" s="14" customFormat="1" x14ac:dyDescent="0.2">
      <c r="A103" s="77" t="s">
        <v>59</v>
      </c>
      <c r="B103" s="77"/>
      <c r="C103" s="77"/>
      <c r="D103" s="77"/>
      <c r="E103" s="16">
        <f t="shared" ref="E103:L103" si="4">MAX(E73:E101)</f>
        <v>4.4165548999999998E-2</v>
      </c>
      <c r="F103" s="16">
        <f t="shared" si="4"/>
        <v>2.8166315300000001E-2</v>
      </c>
      <c r="G103" s="16">
        <f t="shared" si="4"/>
        <v>0.78884843839999996</v>
      </c>
      <c r="H103" s="16">
        <f t="shared" si="4"/>
        <v>0.87912838900000001</v>
      </c>
      <c r="I103" s="16">
        <f t="shared" si="4"/>
        <v>0.68024081950000004</v>
      </c>
      <c r="J103" s="16">
        <f t="shared" si="4"/>
        <v>0.30501827056666669</v>
      </c>
      <c r="K103" s="16">
        <f t="shared" si="4"/>
        <v>0.718753631</v>
      </c>
      <c r="L103" s="16">
        <f t="shared" si="4"/>
        <v>0.45391014831999998</v>
      </c>
      <c r="M103" s="16"/>
      <c r="N103" s="17"/>
    </row>
    <row r="104" spans="1:14" s="52" customFormat="1" x14ac:dyDescent="0.2">
      <c r="A104" s="82" t="s">
        <v>60</v>
      </c>
      <c r="B104" s="82"/>
      <c r="C104" s="82"/>
      <c r="D104" s="82"/>
      <c r="E104" s="29">
        <f t="shared" ref="E104:L104" si="5">AVERAGE(E74:E101)</f>
        <v>1.0789332023809524E-2</v>
      </c>
      <c r="F104" s="29">
        <f t="shared" si="5"/>
        <v>6.1223186428571424E-3</v>
      </c>
      <c r="G104" s="29">
        <f t="shared" si="5"/>
        <v>0.38850719441428572</v>
      </c>
      <c r="H104" s="29">
        <f t="shared" si="5"/>
        <v>0.59446806516190465</v>
      </c>
      <c r="I104" s="29">
        <f t="shared" si="5"/>
        <v>0.481445747004762</v>
      </c>
      <c r="J104" s="29">
        <f t="shared" si="5"/>
        <v>0.20379323860952378</v>
      </c>
      <c r="K104" s="29">
        <f t="shared" si="5"/>
        <v>0.43497647070952389</v>
      </c>
      <c r="L104" s="29">
        <f t="shared" si="5"/>
        <v>0.29626653144952381</v>
      </c>
      <c r="M104" s="29"/>
      <c r="N104" s="58"/>
    </row>
  </sheetData>
  <mergeCells count="52">
    <mergeCell ref="A1:XFD1"/>
    <mergeCell ref="A104:D104"/>
    <mergeCell ref="C94:C96"/>
    <mergeCell ref="D94:D96"/>
    <mergeCell ref="C98:C100"/>
    <mergeCell ref="D98:D100"/>
    <mergeCell ref="A103:D103"/>
    <mergeCell ref="C82:C84"/>
    <mergeCell ref="D82:D84"/>
    <mergeCell ref="C86:C88"/>
    <mergeCell ref="D86:D88"/>
    <mergeCell ref="C90:C92"/>
    <mergeCell ref="D90:D92"/>
    <mergeCell ref="A70:D70"/>
    <mergeCell ref="A72:I72"/>
    <mergeCell ref="C74:C76"/>
    <mergeCell ref="D74:D76"/>
    <mergeCell ref="C78:C80"/>
    <mergeCell ref="D78:D80"/>
    <mergeCell ref="C60:C62"/>
    <mergeCell ref="D60:D62"/>
    <mergeCell ref="C64:C66"/>
    <mergeCell ref="D64:D66"/>
    <mergeCell ref="A69:D69"/>
    <mergeCell ref="C48:C50"/>
    <mergeCell ref="D48:D50"/>
    <mergeCell ref="C52:C54"/>
    <mergeCell ref="D52:D54"/>
    <mergeCell ref="C56:C58"/>
    <mergeCell ref="D56:D58"/>
    <mergeCell ref="A38:I38"/>
    <mergeCell ref="C40:C42"/>
    <mergeCell ref="D40:D42"/>
    <mergeCell ref="C44:C46"/>
    <mergeCell ref="D44:D46"/>
    <mergeCell ref="A35:D35"/>
    <mergeCell ref="A36:D36"/>
    <mergeCell ref="C14:C16"/>
    <mergeCell ref="D14:D16"/>
    <mergeCell ref="C30:C32"/>
    <mergeCell ref="D30:D32"/>
    <mergeCell ref="A4:I4"/>
    <mergeCell ref="C22:C24"/>
    <mergeCell ref="D22:D24"/>
    <mergeCell ref="C26:C28"/>
    <mergeCell ref="D26:D28"/>
    <mergeCell ref="D6:D8"/>
    <mergeCell ref="D10:D12"/>
    <mergeCell ref="C6:C8"/>
    <mergeCell ref="C10:C12"/>
    <mergeCell ref="D18:D20"/>
    <mergeCell ref="C18:C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8A83-228E-4B46-AAFD-22D8E7035CA7}">
  <dimension ref="A1:J14"/>
  <sheetViews>
    <sheetView workbookViewId="0">
      <selection activeCell="B15" sqref="A1:XFD1048576"/>
    </sheetView>
  </sheetViews>
  <sheetFormatPr baseColWidth="10" defaultColWidth="22.6640625" defaultRowHeight="21" x14ac:dyDescent="0.2"/>
  <cols>
    <col min="1" max="1" width="34.5" style="1" customWidth="1"/>
    <col min="2" max="2" width="22.6640625" style="1"/>
    <col min="3" max="3" width="42" style="1" customWidth="1"/>
    <col min="4" max="4" width="38.6640625" style="1" customWidth="1"/>
    <col min="5" max="6" width="26.1640625" style="1" customWidth="1"/>
    <col min="7" max="9" width="22.6640625" style="1"/>
    <col min="10" max="10" width="31.1640625" style="1" customWidth="1"/>
    <col min="11" max="16384" width="22.6640625" style="1"/>
  </cols>
  <sheetData>
    <row r="1" spans="1:10" s="89" customFormat="1" ht="27" thickBot="1" x14ac:dyDescent="0.25">
      <c r="A1" s="89" t="s">
        <v>119</v>
      </c>
    </row>
    <row r="2" spans="1:10" s="6" customFormat="1" ht="66" x14ac:dyDescent="0.2">
      <c r="A2" s="6" t="s">
        <v>0</v>
      </c>
      <c r="B2" s="6" t="s">
        <v>1</v>
      </c>
      <c r="C2" s="7" t="s">
        <v>102</v>
      </c>
      <c r="D2" s="6" t="s">
        <v>106</v>
      </c>
      <c r="E2" s="7" t="s">
        <v>55</v>
      </c>
      <c r="F2" s="7" t="s">
        <v>108</v>
      </c>
      <c r="G2" s="12" t="s">
        <v>103</v>
      </c>
      <c r="H2" s="12" t="s">
        <v>104</v>
      </c>
      <c r="I2" s="12" t="s">
        <v>105</v>
      </c>
      <c r="J2" s="7" t="s">
        <v>114</v>
      </c>
    </row>
    <row r="4" spans="1:10" x14ac:dyDescent="0.2">
      <c r="A4" s="1" t="s">
        <v>2</v>
      </c>
      <c r="B4" s="1" t="s">
        <v>5</v>
      </c>
      <c r="C4" s="76" t="s">
        <v>107</v>
      </c>
      <c r="D4" s="76" t="s">
        <v>109</v>
      </c>
      <c r="E4" s="1">
        <v>0.68648130389999995</v>
      </c>
      <c r="F4" s="1">
        <v>0.93000958769999997</v>
      </c>
      <c r="G4" s="11">
        <v>0.76609541449999996</v>
      </c>
      <c r="H4" s="11">
        <v>0.3481675393</v>
      </c>
      <c r="I4" s="11">
        <v>4.5112781999999997E-2</v>
      </c>
      <c r="J4" s="1">
        <f>G4*1/3+H4*1/3+I4*1/3</f>
        <v>0.38645857859999999</v>
      </c>
    </row>
    <row r="5" spans="1:10" x14ac:dyDescent="0.2">
      <c r="A5" s="1" t="s">
        <v>3</v>
      </c>
      <c r="B5" s="1" t="s">
        <v>6</v>
      </c>
      <c r="C5" s="76"/>
      <c r="D5" s="76"/>
      <c r="E5" s="1">
        <v>0.51505273250000005</v>
      </c>
      <c r="F5" s="1">
        <v>0.71179290510000004</v>
      </c>
      <c r="G5" s="11">
        <v>0.5907827698</v>
      </c>
      <c r="H5" s="11">
        <v>0.1230366492</v>
      </c>
      <c r="I5" s="11">
        <v>0.30827067670000002</v>
      </c>
      <c r="J5" s="1">
        <f t="shared" ref="J5:J14" si="0">G5*1/3+H5*1/3+I5*1/3</f>
        <v>0.34069669856666668</v>
      </c>
    </row>
    <row r="6" spans="1:10" x14ac:dyDescent="0.2">
      <c r="A6" s="1" t="s">
        <v>4</v>
      </c>
      <c r="B6" s="1" t="s">
        <v>7</v>
      </c>
      <c r="C6" s="76"/>
      <c r="D6" s="76"/>
      <c r="E6" s="1">
        <v>3.79674017E-2</v>
      </c>
      <c r="F6" s="1">
        <v>0.24506232019999999</v>
      </c>
      <c r="G6" s="11">
        <v>9.7267253000000008E-3</v>
      </c>
      <c r="H6" s="11">
        <v>3.6649214700000002E-2</v>
      </c>
      <c r="I6" s="11">
        <v>0.962406015</v>
      </c>
      <c r="J6" s="1">
        <f t="shared" si="0"/>
        <v>0.33626065166666669</v>
      </c>
    </row>
    <row r="8" spans="1:10" s="42" customFormat="1" x14ac:dyDescent="0.2">
      <c r="A8" s="42" t="s">
        <v>2</v>
      </c>
      <c r="B8" s="42" t="s">
        <v>5</v>
      </c>
      <c r="C8" s="85" t="s">
        <v>110</v>
      </c>
      <c r="D8" s="76" t="s">
        <v>111</v>
      </c>
      <c r="E8" s="42">
        <v>0.70795781400000002</v>
      </c>
      <c r="F8" s="42">
        <v>0.89434324070000004</v>
      </c>
      <c r="G8" s="67">
        <v>0.79573876789999998</v>
      </c>
      <c r="H8" s="67">
        <v>0.31020942410000002</v>
      </c>
      <c r="I8" s="67">
        <v>0.14285714290000001</v>
      </c>
      <c r="J8" s="66">
        <f t="shared" si="0"/>
        <v>0.41626844496666671</v>
      </c>
    </row>
    <row r="9" spans="1:10" x14ac:dyDescent="0.2">
      <c r="A9" s="1" t="s">
        <v>3</v>
      </c>
      <c r="B9" s="1" t="s">
        <v>6</v>
      </c>
      <c r="C9" s="85"/>
      <c r="D9" s="76"/>
      <c r="E9" s="1">
        <v>0.27823585810000001</v>
      </c>
      <c r="F9" s="1">
        <v>0.69242569509999996</v>
      </c>
      <c r="G9" s="11">
        <v>0.26146364059999999</v>
      </c>
      <c r="H9" s="11">
        <v>0.33900523560000001</v>
      </c>
      <c r="I9" s="11">
        <v>0.47368421049999998</v>
      </c>
      <c r="J9" s="1">
        <f t="shared" si="0"/>
        <v>0.35805102890000001</v>
      </c>
    </row>
    <row r="10" spans="1:10" x14ac:dyDescent="0.2">
      <c r="A10" s="1" t="s">
        <v>4</v>
      </c>
      <c r="B10" s="1" t="s">
        <v>7</v>
      </c>
      <c r="C10" s="85"/>
      <c r="D10" s="76"/>
      <c r="E10" s="1">
        <v>2.9146692200000001E-2</v>
      </c>
      <c r="F10" s="1">
        <v>0.1883029722</v>
      </c>
      <c r="G10" s="11">
        <v>6.9476610000000002E-4</v>
      </c>
      <c r="H10" s="11">
        <v>2.4869109899999998E-2</v>
      </c>
      <c r="I10" s="11">
        <v>0.97744360900000005</v>
      </c>
      <c r="J10" s="1">
        <f t="shared" si="0"/>
        <v>0.33433582833333336</v>
      </c>
    </row>
    <row r="12" spans="1:10" x14ac:dyDescent="0.2">
      <c r="A12" s="1" t="s">
        <v>2</v>
      </c>
      <c r="B12" s="1" t="s">
        <v>5</v>
      </c>
      <c r="C12" s="76" t="s">
        <v>112</v>
      </c>
      <c r="D12" s="76" t="s">
        <v>113</v>
      </c>
      <c r="E12" s="1">
        <v>0.7549338954</v>
      </c>
      <c r="F12" s="1">
        <v>0.95612186239999997</v>
      </c>
      <c r="G12" s="1">
        <v>0.85370370370000004</v>
      </c>
      <c r="H12" s="1">
        <v>0.32460732980000001</v>
      </c>
      <c r="I12" s="1">
        <v>2.9629629599999999E-2</v>
      </c>
      <c r="J12" s="1">
        <f t="shared" si="0"/>
        <v>0.40264688770000001</v>
      </c>
    </row>
    <row r="13" spans="1:10" x14ac:dyDescent="0.2">
      <c r="A13" s="1" t="s">
        <v>3</v>
      </c>
      <c r="B13" s="1" t="s">
        <v>6</v>
      </c>
      <c r="C13" s="76"/>
      <c r="D13" s="76"/>
      <c r="E13" s="1">
        <v>0.42057865490000002</v>
      </c>
      <c r="F13" s="1">
        <v>0.64073577309999996</v>
      </c>
      <c r="G13" s="1">
        <v>0.45162037040000003</v>
      </c>
      <c r="H13" s="1">
        <v>0.25130890049999999</v>
      </c>
      <c r="I13" s="1">
        <v>0.3851851852</v>
      </c>
      <c r="J13" s="1">
        <f t="shared" si="0"/>
        <v>0.36270481870000004</v>
      </c>
    </row>
    <row r="14" spans="1:10" x14ac:dyDescent="0.2">
      <c r="A14" s="1" t="s">
        <v>4</v>
      </c>
      <c r="B14" s="1" t="s">
        <v>7</v>
      </c>
      <c r="C14" s="76"/>
      <c r="D14" s="76"/>
      <c r="E14" s="1">
        <v>0.78884843839999996</v>
      </c>
      <c r="F14" s="1">
        <v>0.94194290089999999</v>
      </c>
      <c r="G14" s="1">
        <v>0.95115740739999999</v>
      </c>
      <c r="H14" s="1">
        <v>5.2356021000000003E-3</v>
      </c>
      <c r="I14" s="1">
        <v>2.9629629599999999E-2</v>
      </c>
      <c r="J14" s="1">
        <f t="shared" si="0"/>
        <v>0.32867421303333333</v>
      </c>
    </row>
  </sheetData>
  <mergeCells count="7">
    <mergeCell ref="A1:XFD1"/>
    <mergeCell ref="C12:C14"/>
    <mergeCell ref="D12:D14"/>
    <mergeCell ref="C4:C6"/>
    <mergeCell ref="D4:D6"/>
    <mergeCell ref="C8:C10"/>
    <mergeCell ref="D8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FB43-1DD7-8F42-9661-D6416FFA154E}">
  <dimension ref="A1:K14"/>
  <sheetViews>
    <sheetView tabSelected="1" workbookViewId="0">
      <selection activeCell="E14" sqref="E14"/>
    </sheetView>
  </sheetViews>
  <sheetFormatPr baseColWidth="10" defaultColWidth="22.6640625" defaultRowHeight="21" x14ac:dyDescent="0.2"/>
  <cols>
    <col min="1" max="1" width="34.5" style="1" customWidth="1"/>
    <col min="2" max="2" width="22.6640625" style="1"/>
    <col min="3" max="3" width="42" style="1" customWidth="1"/>
    <col min="4" max="4" width="38.6640625" style="1" customWidth="1"/>
    <col min="5" max="6" width="26.1640625" style="1" customWidth="1"/>
    <col min="7" max="9" width="22.6640625" style="1"/>
    <col min="10" max="10" width="27.1640625" style="1" customWidth="1"/>
    <col min="11" max="16384" width="22.6640625" style="1"/>
  </cols>
  <sheetData>
    <row r="1" spans="1:11" s="89" customFormat="1" ht="27" thickBot="1" x14ac:dyDescent="0.25">
      <c r="A1" s="89" t="s">
        <v>120</v>
      </c>
    </row>
    <row r="2" spans="1:11" s="7" customFormat="1" ht="66" x14ac:dyDescent="0.2">
      <c r="A2" s="7" t="s">
        <v>0</v>
      </c>
      <c r="B2" s="7" t="s">
        <v>1</v>
      </c>
      <c r="C2" s="7" t="s">
        <v>102</v>
      </c>
      <c r="D2" s="7" t="s">
        <v>106</v>
      </c>
      <c r="E2" s="7" t="s">
        <v>55</v>
      </c>
      <c r="F2" s="7" t="s">
        <v>108</v>
      </c>
      <c r="G2" s="12" t="s">
        <v>103</v>
      </c>
      <c r="H2" s="12" t="s">
        <v>104</v>
      </c>
      <c r="I2" s="12" t="s">
        <v>105</v>
      </c>
      <c r="J2" s="7" t="s">
        <v>57</v>
      </c>
      <c r="K2" s="7" t="s">
        <v>121</v>
      </c>
    </row>
    <row r="4" spans="1:11" ht="21" customHeight="1" x14ac:dyDescent="0.2">
      <c r="A4" s="69" t="s">
        <v>2</v>
      </c>
      <c r="B4" s="1" t="s">
        <v>5</v>
      </c>
      <c r="C4" s="76" t="s">
        <v>47</v>
      </c>
      <c r="D4" s="76" t="s">
        <v>109</v>
      </c>
      <c r="G4" s="11"/>
      <c r="H4" s="11"/>
      <c r="I4" s="11"/>
      <c r="K4" s="1">
        <f>G4*1/3+H4*1/3+I4*1/3</f>
        <v>0</v>
      </c>
    </row>
    <row r="5" spans="1:11" x14ac:dyDescent="0.2">
      <c r="A5" s="69"/>
      <c r="B5" s="1" t="s">
        <v>122</v>
      </c>
      <c r="C5" s="76"/>
      <c r="D5" s="76"/>
      <c r="G5" s="11"/>
      <c r="H5" s="11"/>
      <c r="I5" s="11"/>
      <c r="K5" s="1">
        <f>G5*1/3+H5*1/3+I5*1/3</f>
        <v>0</v>
      </c>
    </row>
    <row r="6" spans="1:11" x14ac:dyDescent="0.2">
      <c r="A6" s="69"/>
      <c r="B6" s="1" t="s">
        <v>123</v>
      </c>
      <c r="C6" s="76"/>
      <c r="D6" s="76"/>
      <c r="G6" s="11"/>
      <c r="H6" s="11"/>
      <c r="I6" s="11"/>
      <c r="K6" s="1">
        <f>G6*1/3+H6*1/3+I6*1/3</f>
        <v>0</v>
      </c>
    </row>
    <row r="7" spans="1:11" ht="21" customHeight="1" x14ac:dyDescent="0.2">
      <c r="C7" s="76"/>
      <c r="D7" s="76"/>
    </row>
    <row r="8" spans="1:11" ht="21" customHeight="1" x14ac:dyDescent="0.2">
      <c r="A8" s="69" t="s">
        <v>124</v>
      </c>
      <c r="B8" s="1" t="s">
        <v>126</v>
      </c>
      <c r="C8" s="76"/>
      <c r="D8" s="76"/>
      <c r="K8" s="1">
        <f>G8*1/3+H8*1/3+I8*1/3</f>
        <v>0</v>
      </c>
    </row>
    <row r="9" spans="1:11" x14ac:dyDescent="0.2">
      <c r="A9" s="69"/>
      <c r="B9" s="1" t="s">
        <v>127</v>
      </c>
      <c r="C9" s="76"/>
      <c r="D9" s="76"/>
      <c r="K9" s="1">
        <f>G9*1/3+H9*1/3+I9*1/3</f>
        <v>0</v>
      </c>
    </row>
    <row r="10" spans="1:11" ht="21" customHeight="1" x14ac:dyDescent="0.2">
      <c r="A10" s="69"/>
      <c r="B10" s="1" t="s">
        <v>128</v>
      </c>
      <c r="C10" s="76"/>
      <c r="D10" s="76"/>
      <c r="K10" s="1">
        <f>G10*1/3+H10*1/3+I10*1/3</f>
        <v>0</v>
      </c>
    </row>
    <row r="11" spans="1:11" x14ac:dyDescent="0.2">
      <c r="C11" s="76"/>
      <c r="D11" s="76"/>
    </row>
    <row r="12" spans="1:11" ht="21" customHeight="1" x14ac:dyDescent="0.2">
      <c r="A12" s="69" t="s">
        <v>125</v>
      </c>
      <c r="B12" s="1" t="s">
        <v>129</v>
      </c>
      <c r="C12" s="76"/>
      <c r="D12" s="76"/>
      <c r="K12" s="1">
        <f>G12*1/3+H12*1/3+I12*1/3</f>
        <v>0</v>
      </c>
    </row>
    <row r="13" spans="1:11" ht="21" customHeight="1" x14ac:dyDescent="0.2">
      <c r="A13" s="69"/>
      <c r="B13" s="1" t="s">
        <v>130</v>
      </c>
      <c r="C13" s="76"/>
      <c r="D13" s="76"/>
      <c r="K13" s="1">
        <f>G13*1/3+H13*1/3+I13*1/3</f>
        <v>0</v>
      </c>
    </row>
    <row r="14" spans="1:11" x14ac:dyDescent="0.2">
      <c r="C14" s="50"/>
      <c r="D14" s="50"/>
    </row>
  </sheetData>
  <mergeCells count="6">
    <mergeCell ref="A8:A10"/>
    <mergeCell ref="A12:A13"/>
    <mergeCell ref="C4:C13"/>
    <mergeCell ref="D4:D13"/>
    <mergeCell ref="A1:XFD1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Basic</vt:lpstr>
      <vt:lpstr>Special</vt:lpstr>
      <vt:lpstr>Pretrained-Special</vt:lpstr>
      <vt:lpstr>Improving Results</vt:lpstr>
      <vt:lpstr>Checking Bias</vt:lpstr>
      <vt:lpstr>Other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Dore</dc:creator>
  <cp:lastModifiedBy>Deborah Dore</cp:lastModifiedBy>
  <dcterms:created xsi:type="dcterms:W3CDTF">2023-11-28T10:53:59Z</dcterms:created>
  <dcterms:modified xsi:type="dcterms:W3CDTF">2024-01-15T13:39:32Z</dcterms:modified>
</cp:coreProperties>
</file>