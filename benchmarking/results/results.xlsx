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2906EF9E-2F6B-114F-8242-EB3F72FFED7B}" xr6:coauthVersionLast="47" xr6:coauthVersionMax="47" xr10:uidLastSave="{00000000-0000-0000-0000-000000000000}"/>
  <bookViews>
    <workbookView xWindow="0" yWindow="740" windowWidth="30240" windowHeight="18900" activeTab="4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  <sheet name="Check Bias of Model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8" l="1"/>
  <c r="J4" i="8"/>
  <c r="J5" i="8"/>
  <c r="J7" i="8"/>
  <c r="J8" i="8"/>
  <c r="J9" i="8"/>
  <c r="J11" i="8"/>
  <c r="J12" i="8"/>
  <c r="J3" i="8"/>
  <c r="I103" i="7"/>
  <c r="H103" i="7"/>
  <c r="G103" i="7"/>
  <c r="F103" i="7"/>
  <c r="E103" i="7"/>
  <c r="I102" i="7"/>
  <c r="H102" i="7"/>
  <c r="G102" i="7"/>
  <c r="F102" i="7"/>
  <c r="E102" i="7"/>
  <c r="L99" i="7"/>
  <c r="K99" i="7"/>
  <c r="J99" i="7"/>
  <c r="L98" i="7"/>
  <c r="K98" i="7"/>
  <c r="J98" i="7"/>
  <c r="L97" i="7"/>
  <c r="K97" i="7"/>
  <c r="J97" i="7"/>
  <c r="L95" i="7"/>
  <c r="K95" i="7"/>
  <c r="J95" i="7"/>
  <c r="L94" i="7"/>
  <c r="K94" i="7"/>
  <c r="J94" i="7"/>
  <c r="L93" i="7"/>
  <c r="K93" i="7"/>
  <c r="J93" i="7"/>
  <c r="L91" i="7"/>
  <c r="K91" i="7"/>
  <c r="J91" i="7"/>
  <c r="L90" i="7"/>
  <c r="K90" i="7"/>
  <c r="J90" i="7"/>
  <c r="L89" i="7"/>
  <c r="K89" i="7"/>
  <c r="J89" i="7"/>
  <c r="L87" i="7"/>
  <c r="K87" i="7"/>
  <c r="J87" i="7"/>
  <c r="L86" i="7"/>
  <c r="K86" i="7"/>
  <c r="J86" i="7"/>
  <c r="L85" i="7"/>
  <c r="K85" i="7"/>
  <c r="J85" i="7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I69" i="7"/>
  <c r="H69" i="7"/>
  <c r="G69" i="7"/>
  <c r="F69" i="7"/>
  <c r="E69" i="7"/>
  <c r="I68" i="7"/>
  <c r="H68" i="7"/>
  <c r="G68" i="7"/>
  <c r="F68" i="7"/>
  <c r="E68" i="7"/>
  <c r="L65" i="7"/>
  <c r="K65" i="7"/>
  <c r="J65" i="7"/>
  <c r="L64" i="7"/>
  <c r="K64" i="7"/>
  <c r="J64" i="7"/>
  <c r="L63" i="7"/>
  <c r="K63" i="7"/>
  <c r="J63" i="7"/>
  <c r="L61" i="7"/>
  <c r="K61" i="7"/>
  <c r="J61" i="7"/>
  <c r="L60" i="7"/>
  <c r="K60" i="7"/>
  <c r="J60" i="7"/>
  <c r="L59" i="7"/>
  <c r="K59" i="7"/>
  <c r="J59" i="7"/>
  <c r="L57" i="7"/>
  <c r="K57" i="7"/>
  <c r="J57" i="7"/>
  <c r="L56" i="7"/>
  <c r="K56" i="7"/>
  <c r="J56" i="7"/>
  <c r="L55" i="7"/>
  <c r="K55" i="7"/>
  <c r="J55" i="7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5" i="7"/>
  <c r="K45" i="7"/>
  <c r="J45" i="7"/>
  <c r="L44" i="7"/>
  <c r="K44" i="7"/>
  <c r="J44" i="7"/>
  <c r="L43" i="7"/>
  <c r="K43" i="7"/>
  <c r="J43" i="7"/>
  <c r="L41" i="7"/>
  <c r="K41" i="7"/>
  <c r="J41" i="7"/>
  <c r="L40" i="7"/>
  <c r="K40" i="7"/>
  <c r="J40" i="7"/>
  <c r="L39" i="7"/>
  <c r="K39" i="7"/>
  <c r="J39" i="7"/>
  <c r="E34" i="7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J68" i="7" l="1"/>
  <c r="J103" i="7"/>
  <c r="J102" i="7"/>
  <c r="K103" i="7"/>
  <c r="K102" i="7"/>
  <c r="L103" i="7"/>
  <c r="L102" i="7"/>
  <c r="K69" i="7"/>
  <c r="L69" i="7"/>
  <c r="J69" i="7"/>
  <c r="K68" i="7"/>
  <c r="L68" i="7"/>
  <c r="K56" i="6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<sst xmlns="http://schemas.openxmlformats.org/spreadsheetml/2006/main" count="622" uniqueCount="115">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</sst>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3" t="s">
        <v>41</v>
      </c>
      <c r="D2" s="72" t="s">
        <v>8</v>
      </c>
      <c r="E2" s="72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75" t="s">
        <v>15</v>
      </c>
    </row>
    <row r="3" spans="1:12" x14ac:dyDescent="0.2">
      <c r="A3" s="1" t="s">
        <v>3</v>
      </c>
      <c r="B3" s="1" t="s">
        <v>6</v>
      </c>
      <c r="C3" s="69"/>
      <c r="D3" s="70"/>
      <c r="E3" s="70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76"/>
    </row>
    <row r="4" spans="1:12" x14ac:dyDescent="0.2">
      <c r="A4" s="1" t="s">
        <v>4</v>
      </c>
      <c r="B4" s="1" t="s">
        <v>7</v>
      </c>
      <c r="C4" s="69"/>
      <c r="D4" s="70"/>
      <c r="E4" s="70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76"/>
    </row>
    <row r="6" spans="1:12" x14ac:dyDescent="0.2">
      <c r="A6" s="1" t="s">
        <v>2</v>
      </c>
      <c r="B6" s="1" t="s">
        <v>5</v>
      </c>
      <c r="C6" s="69" t="s">
        <v>42</v>
      </c>
      <c r="D6" s="70" t="s">
        <v>10</v>
      </c>
      <c r="E6" s="70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76" t="s">
        <v>16</v>
      </c>
    </row>
    <row r="7" spans="1:12" x14ac:dyDescent="0.2">
      <c r="A7" s="1" t="s">
        <v>3</v>
      </c>
      <c r="B7" s="1" t="s">
        <v>6</v>
      </c>
      <c r="C7" s="69"/>
      <c r="D7" s="70"/>
      <c r="E7" s="70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76"/>
    </row>
    <row r="8" spans="1:12" x14ac:dyDescent="0.2">
      <c r="A8" s="1" t="s">
        <v>4</v>
      </c>
      <c r="B8" s="1" t="s">
        <v>7</v>
      </c>
      <c r="C8" s="69"/>
      <c r="D8" s="70"/>
      <c r="E8" s="70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76"/>
    </row>
    <row r="10" spans="1:12" s="59" customFormat="1" x14ac:dyDescent="0.2">
      <c r="A10" s="71" t="s">
        <v>37</v>
      </c>
      <c r="B10" s="71"/>
      <c r="C10" s="71"/>
      <c r="D10" s="71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9" t="s">
        <v>43</v>
      </c>
      <c r="D12" s="70" t="s">
        <v>11</v>
      </c>
      <c r="E12" s="70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76" t="s">
        <v>18</v>
      </c>
    </row>
    <row r="13" spans="1:12" x14ac:dyDescent="0.2">
      <c r="A13" s="1" t="s">
        <v>3</v>
      </c>
      <c r="B13" s="1" t="s">
        <v>6</v>
      </c>
      <c r="C13" s="69"/>
      <c r="D13" s="70"/>
      <c r="E13" s="70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76"/>
    </row>
    <row r="14" spans="1:12" x14ac:dyDescent="0.2">
      <c r="A14" s="1" t="s">
        <v>4</v>
      </c>
      <c r="B14" s="1" t="s">
        <v>7</v>
      </c>
      <c r="C14" s="69"/>
      <c r="D14" s="70"/>
      <c r="E14" s="70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76"/>
    </row>
    <row r="16" spans="1:12" x14ac:dyDescent="0.2">
      <c r="A16" s="1" t="s">
        <v>2</v>
      </c>
      <c r="B16" s="1" t="s">
        <v>5</v>
      </c>
      <c r="C16" s="69" t="s">
        <v>44</v>
      </c>
      <c r="D16" s="70" t="s">
        <v>19</v>
      </c>
      <c r="E16" s="70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76" t="s">
        <v>36</v>
      </c>
    </row>
    <row r="17" spans="1:11" x14ac:dyDescent="0.2">
      <c r="A17" s="1" t="s">
        <v>3</v>
      </c>
      <c r="B17" s="1" t="s">
        <v>6</v>
      </c>
      <c r="C17" s="69"/>
      <c r="D17" s="70"/>
      <c r="E17" s="70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76"/>
    </row>
    <row r="18" spans="1:11" x14ac:dyDescent="0.2">
      <c r="A18" s="1" t="s">
        <v>4</v>
      </c>
      <c r="B18" s="1" t="s">
        <v>7</v>
      </c>
      <c r="C18" s="69"/>
      <c r="D18" s="70"/>
      <c r="E18" s="70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76"/>
    </row>
    <row r="20" spans="1:11" x14ac:dyDescent="0.2">
      <c r="A20" s="1" t="s">
        <v>2</v>
      </c>
      <c r="B20" s="1" t="s">
        <v>5</v>
      </c>
      <c r="C20" s="69" t="s">
        <v>45</v>
      </c>
      <c r="D20" s="70" t="s">
        <v>20</v>
      </c>
      <c r="E20" s="70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76" t="s">
        <v>35</v>
      </c>
    </row>
    <row r="21" spans="1:11" x14ac:dyDescent="0.2">
      <c r="A21" s="1" t="s">
        <v>3</v>
      </c>
      <c r="B21" s="1" t="s">
        <v>6</v>
      </c>
      <c r="C21" s="69"/>
      <c r="D21" s="70"/>
      <c r="E21" s="70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76"/>
    </row>
    <row r="22" spans="1:11" x14ac:dyDescent="0.2">
      <c r="A22" s="1" t="s">
        <v>4</v>
      </c>
      <c r="B22" s="1" t="s">
        <v>7</v>
      </c>
      <c r="C22" s="69"/>
      <c r="D22" s="70"/>
      <c r="E22" s="70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76"/>
    </row>
    <row r="24" spans="1:11" x14ac:dyDescent="0.2">
      <c r="A24" s="1" t="s">
        <v>2</v>
      </c>
      <c r="B24" s="1" t="s">
        <v>5</v>
      </c>
      <c r="C24" s="69" t="s">
        <v>46</v>
      </c>
      <c r="D24" s="70" t="s">
        <v>21</v>
      </c>
      <c r="E24" s="70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69"/>
      <c r="D25" s="70"/>
      <c r="E25" s="70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69"/>
      <c r="D26" s="70"/>
      <c r="E26" s="70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69" t="s">
        <v>47</v>
      </c>
      <c r="D28" s="70" t="s">
        <v>22</v>
      </c>
      <c r="E28" s="70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69"/>
      <c r="D29" s="70"/>
      <c r="E29" s="70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69"/>
      <c r="D30" s="70"/>
      <c r="E30" s="70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69" t="s">
        <v>48</v>
      </c>
      <c r="D32" s="70" t="s">
        <v>23</v>
      </c>
      <c r="E32" s="70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69"/>
      <c r="D33" s="70"/>
      <c r="E33" s="70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69"/>
      <c r="D34" s="70"/>
      <c r="E34" s="70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69" t="s">
        <v>49</v>
      </c>
      <c r="D36" s="70" t="s">
        <v>24</v>
      </c>
      <c r="E36" s="70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69"/>
      <c r="D37" s="70"/>
      <c r="E37" s="70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69"/>
      <c r="D38" s="70"/>
      <c r="E38" s="70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71" t="s">
        <v>38</v>
      </c>
      <c r="B40" s="71"/>
      <c r="C40" s="71"/>
      <c r="D40" s="71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9" t="s">
        <v>50</v>
      </c>
      <c r="D42" s="70" t="s">
        <v>25</v>
      </c>
      <c r="E42" s="70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76" t="s">
        <v>30</v>
      </c>
    </row>
    <row r="43" spans="1:11" x14ac:dyDescent="0.2">
      <c r="A43" s="1" t="s">
        <v>3</v>
      </c>
      <c r="B43" s="1" t="s">
        <v>6</v>
      </c>
      <c r="C43" s="69"/>
      <c r="D43" s="70"/>
      <c r="E43" s="70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76"/>
    </row>
    <row r="44" spans="1:11" x14ac:dyDescent="0.2">
      <c r="A44" s="1" t="s">
        <v>4</v>
      </c>
      <c r="B44" s="1" t="s">
        <v>7</v>
      </c>
      <c r="C44" s="69"/>
      <c r="D44" s="70"/>
      <c r="E44" s="70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76"/>
    </row>
    <row r="46" spans="1:11" x14ac:dyDescent="0.2">
      <c r="A46" s="1" t="s">
        <v>2</v>
      </c>
      <c r="B46" s="1" t="s">
        <v>5</v>
      </c>
      <c r="C46" s="69" t="s">
        <v>51</v>
      </c>
      <c r="D46" s="70" t="s">
        <v>26</v>
      </c>
      <c r="E46" s="70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76" t="s">
        <v>31</v>
      </c>
    </row>
    <row r="47" spans="1:11" x14ac:dyDescent="0.2">
      <c r="A47" s="1" t="s">
        <v>3</v>
      </c>
      <c r="B47" s="1" t="s">
        <v>6</v>
      </c>
      <c r="C47" s="69"/>
      <c r="D47" s="70"/>
      <c r="E47" s="70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76"/>
    </row>
    <row r="48" spans="1:11" x14ac:dyDescent="0.2">
      <c r="A48" s="1" t="s">
        <v>4</v>
      </c>
      <c r="B48" s="1" t="s">
        <v>7</v>
      </c>
      <c r="C48" s="69"/>
      <c r="D48" s="70"/>
      <c r="E48" s="70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76"/>
    </row>
    <row r="50" spans="1:11" x14ac:dyDescent="0.2">
      <c r="A50" s="1" t="s">
        <v>2</v>
      </c>
      <c r="B50" s="1" t="s">
        <v>5</v>
      </c>
      <c r="C50" s="69" t="s">
        <v>52</v>
      </c>
      <c r="D50" s="70" t="s">
        <v>39</v>
      </c>
      <c r="E50" s="70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69"/>
      <c r="D51" s="70"/>
      <c r="E51" s="70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69"/>
      <c r="D52" s="70"/>
      <c r="E52" s="70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68" t="s">
        <v>59</v>
      </c>
      <c r="B55" s="68"/>
      <c r="C55" s="68"/>
      <c r="D55" s="68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74" t="s">
        <v>60</v>
      </c>
      <c r="B56" s="74"/>
      <c r="C56" s="74"/>
      <c r="D56" s="74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E45" sqref="E45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3" t="s">
        <v>41</v>
      </c>
      <c r="D2" s="72" t="s">
        <v>8</v>
      </c>
      <c r="E2" s="72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75" t="s">
        <v>15</v>
      </c>
    </row>
    <row r="3" spans="1:12" x14ac:dyDescent="0.2">
      <c r="A3" s="1" t="s">
        <v>3</v>
      </c>
      <c r="B3" s="1" t="s">
        <v>6</v>
      </c>
      <c r="C3" s="69"/>
      <c r="D3" s="70"/>
      <c r="E3" s="70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76"/>
    </row>
    <row r="4" spans="1:12" x14ac:dyDescent="0.2">
      <c r="A4" s="1" t="s">
        <v>4</v>
      </c>
      <c r="B4" s="1" t="s">
        <v>7</v>
      </c>
      <c r="C4" s="69"/>
      <c r="D4" s="70"/>
      <c r="E4" s="70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76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9" t="s">
        <v>42</v>
      </c>
      <c r="D6" s="70" t="s">
        <v>10</v>
      </c>
      <c r="E6" s="70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76" t="s">
        <v>16</v>
      </c>
    </row>
    <row r="7" spans="1:12" x14ac:dyDescent="0.2">
      <c r="A7" s="1" t="s">
        <v>3</v>
      </c>
      <c r="B7" s="1" t="s">
        <v>6</v>
      </c>
      <c r="C7" s="69"/>
      <c r="D7" s="70"/>
      <c r="E7" s="70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76"/>
    </row>
    <row r="8" spans="1:12" x14ac:dyDescent="0.2">
      <c r="A8" s="1" t="s">
        <v>4</v>
      </c>
      <c r="B8" s="1" t="s">
        <v>7</v>
      </c>
      <c r="C8" s="69"/>
      <c r="D8" s="70"/>
      <c r="E8" s="70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76"/>
    </row>
    <row r="9" spans="1:12" x14ac:dyDescent="0.2">
      <c r="G9" s="11"/>
      <c r="H9" s="11"/>
      <c r="I9" s="11"/>
      <c r="J9" s="11"/>
    </row>
    <row r="10" spans="1:12" s="59" customFormat="1" x14ac:dyDescent="0.2">
      <c r="A10" s="71" t="s">
        <v>37</v>
      </c>
      <c r="B10" s="71"/>
      <c r="C10" s="71"/>
      <c r="D10" s="71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9" t="s">
        <v>43</v>
      </c>
      <c r="D12" s="70" t="s">
        <v>11</v>
      </c>
      <c r="E12" s="70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76" t="s">
        <v>18</v>
      </c>
    </row>
    <row r="13" spans="1:12" x14ac:dyDescent="0.2">
      <c r="A13" s="1" t="s">
        <v>3</v>
      </c>
      <c r="B13" s="1" t="s">
        <v>6</v>
      </c>
      <c r="C13" s="69"/>
      <c r="D13" s="70"/>
      <c r="E13" s="70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76"/>
    </row>
    <row r="14" spans="1:12" x14ac:dyDescent="0.2">
      <c r="A14" s="1" t="s">
        <v>4</v>
      </c>
      <c r="B14" s="1" t="s">
        <v>7</v>
      </c>
      <c r="C14" s="69"/>
      <c r="D14" s="70"/>
      <c r="E14" s="70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76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9" t="s">
        <v>44</v>
      </c>
      <c r="D16" s="70" t="s">
        <v>19</v>
      </c>
      <c r="E16" s="70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76" t="s">
        <v>36</v>
      </c>
    </row>
    <row r="17" spans="1:11" x14ac:dyDescent="0.2">
      <c r="A17" s="1" t="s">
        <v>3</v>
      </c>
      <c r="B17" s="1" t="s">
        <v>6</v>
      </c>
      <c r="C17" s="69"/>
      <c r="D17" s="70"/>
      <c r="E17" s="70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76"/>
    </row>
    <row r="18" spans="1:11" x14ac:dyDescent="0.2">
      <c r="A18" s="1" t="s">
        <v>4</v>
      </c>
      <c r="B18" s="1" t="s">
        <v>7</v>
      </c>
      <c r="C18" s="69"/>
      <c r="D18" s="70"/>
      <c r="E18" s="70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76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9" t="s">
        <v>45</v>
      </c>
      <c r="D20" s="70" t="s">
        <v>20</v>
      </c>
      <c r="E20" s="70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76" t="s">
        <v>35</v>
      </c>
    </row>
    <row r="21" spans="1:11" x14ac:dyDescent="0.2">
      <c r="A21" s="1" t="s">
        <v>3</v>
      </c>
      <c r="B21" s="1" t="s">
        <v>6</v>
      </c>
      <c r="C21" s="69"/>
      <c r="D21" s="70"/>
      <c r="E21" s="70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76"/>
    </row>
    <row r="22" spans="1:11" x14ac:dyDescent="0.2">
      <c r="A22" s="1" t="s">
        <v>4</v>
      </c>
      <c r="B22" s="1" t="s">
        <v>7</v>
      </c>
      <c r="C22" s="69"/>
      <c r="D22" s="70"/>
      <c r="E22" s="70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76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9" t="s">
        <v>46</v>
      </c>
      <c r="D24" s="70" t="s">
        <v>21</v>
      </c>
      <c r="E24" s="70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69"/>
      <c r="D25" s="70"/>
      <c r="E25" s="70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69"/>
      <c r="D26" s="70"/>
      <c r="E26" s="70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9" t="s">
        <v>47</v>
      </c>
      <c r="D28" s="70" t="s">
        <v>22</v>
      </c>
      <c r="E28" s="70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69"/>
      <c r="D29" s="70"/>
      <c r="E29" s="70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69"/>
      <c r="D30" s="70"/>
      <c r="E30" s="70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9" t="s">
        <v>48</v>
      </c>
      <c r="D32" s="70" t="s">
        <v>23</v>
      </c>
      <c r="E32" s="70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69"/>
      <c r="D33" s="70"/>
      <c r="E33" s="70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69"/>
      <c r="D34" s="70"/>
      <c r="E34" s="70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9" t="s">
        <v>49</v>
      </c>
      <c r="D36" s="70" t="s">
        <v>24</v>
      </c>
      <c r="E36" s="70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69"/>
      <c r="D37" s="70"/>
      <c r="E37" s="70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69"/>
      <c r="D38" s="70"/>
      <c r="E38" s="70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71" t="s">
        <v>38</v>
      </c>
      <c r="B40" s="71"/>
      <c r="C40" s="71"/>
      <c r="D40" s="71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9" t="s">
        <v>50</v>
      </c>
      <c r="D42" s="70" t="s">
        <v>25</v>
      </c>
      <c r="E42" s="70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76" t="s">
        <v>30</v>
      </c>
    </row>
    <row r="43" spans="1:11" x14ac:dyDescent="0.2">
      <c r="A43" s="1" t="s">
        <v>3</v>
      </c>
      <c r="B43" s="1" t="s">
        <v>6</v>
      </c>
      <c r="C43" s="69"/>
      <c r="D43" s="70"/>
      <c r="E43" s="70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76"/>
    </row>
    <row r="44" spans="1:11" x14ac:dyDescent="0.2">
      <c r="A44" s="1" t="s">
        <v>4</v>
      </c>
      <c r="B44" s="1" t="s">
        <v>7</v>
      </c>
      <c r="C44" s="69"/>
      <c r="D44" s="70"/>
      <c r="E44" s="70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76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9" t="s">
        <v>51</v>
      </c>
      <c r="D46" s="70" t="s">
        <v>26</v>
      </c>
      <c r="E46" s="70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76" t="s">
        <v>31</v>
      </c>
    </row>
    <row r="47" spans="1:11" x14ac:dyDescent="0.2">
      <c r="A47" s="1" t="s">
        <v>3</v>
      </c>
      <c r="B47" s="1" t="s">
        <v>6</v>
      </c>
      <c r="C47" s="69"/>
      <c r="D47" s="70"/>
      <c r="E47" s="70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76"/>
    </row>
    <row r="48" spans="1:11" x14ac:dyDescent="0.2">
      <c r="A48" s="1" t="s">
        <v>4</v>
      </c>
      <c r="B48" s="1" t="s">
        <v>7</v>
      </c>
      <c r="C48" s="69"/>
      <c r="D48" s="70"/>
      <c r="E48" s="70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76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9" t="s">
        <v>52</v>
      </c>
      <c r="D50" s="70" t="s">
        <v>39</v>
      </c>
      <c r="E50" s="70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69"/>
      <c r="D51" s="70"/>
      <c r="E51" s="70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69"/>
      <c r="D52" s="70"/>
      <c r="E52" s="70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68" t="s">
        <v>59</v>
      </c>
      <c r="B55" s="68"/>
      <c r="C55" s="68"/>
      <c r="D55" s="68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74" t="s">
        <v>60</v>
      </c>
      <c r="B56" s="74"/>
      <c r="C56" s="74"/>
      <c r="D56" s="74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  <mergeCell ref="E50:E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5" activePane="bottomLeft" state="frozen"/>
      <selection pane="bottomLeft" activeCell="F24" sqref="F2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3" t="s">
        <v>41</v>
      </c>
      <c r="D2" s="72" t="s">
        <v>8</v>
      </c>
      <c r="E2" s="72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75" t="s">
        <v>15</v>
      </c>
    </row>
    <row r="3" spans="1:15" x14ac:dyDescent="0.2">
      <c r="A3" s="1" t="s">
        <v>3</v>
      </c>
      <c r="B3" s="1" t="s">
        <v>6</v>
      </c>
      <c r="C3" s="69"/>
      <c r="D3" s="70"/>
      <c r="E3" s="70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76"/>
    </row>
    <row r="4" spans="1:15" x14ac:dyDescent="0.2">
      <c r="A4" s="1" t="s">
        <v>4</v>
      </c>
      <c r="B4" s="1" t="s">
        <v>7</v>
      </c>
      <c r="C4" s="69"/>
      <c r="D4" s="70"/>
      <c r="E4" s="70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76"/>
    </row>
    <row r="6" spans="1:15" x14ac:dyDescent="0.2">
      <c r="A6" s="1" t="s">
        <v>2</v>
      </c>
      <c r="B6" s="1" t="s">
        <v>5</v>
      </c>
      <c r="C6" s="69" t="s">
        <v>42</v>
      </c>
      <c r="D6" s="70" t="s">
        <v>10</v>
      </c>
      <c r="E6" s="70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76" t="s">
        <v>16</v>
      </c>
    </row>
    <row r="7" spans="1:15" x14ac:dyDescent="0.2">
      <c r="A7" s="1" t="s">
        <v>3</v>
      </c>
      <c r="B7" s="1" t="s">
        <v>6</v>
      </c>
      <c r="C7" s="69"/>
      <c r="D7" s="70"/>
      <c r="E7" s="70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76"/>
    </row>
    <row r="8" spans="1:15" x14ac:dyDescent="0.2">
      <c r="A8" s="1" t="s">
        <v>4</v>
      </c>
      <c r="B8" s="1" t="s">
        <v>7</v>
      </c>
      <c r="C8" s="69"/>
      <c r="D8" s="70"/>
      <c r="E8" s="70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76"/>
    </row>
    <row r="10" spans="1:15" s="2" customFormat="1" x14ac:dyDescent="0.2">
      <c r="A10" s="78" t="s">
        <v>37</v>
      </c>
      <c r="B10" s="78"/>
      <c r="C10" s="78"/>
      <c r="D10" s="78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9" t="s">
        <v>43</v>
      </c>
      <c r="D12" s="70" t="s">
        <v>11</v>
      </c>
      <c r="E12" s="70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76" t="s">
        <v>18</v>
      </c>
    </row>
    <row r="13" spans="1:15" x14ac:dyDescent="0.2">
      <c r="A13" s="1" t="s">
        <v>3</v>
      </c>
      <c r="B13" s="1" t="s">
        <v>6</v>
      </c>
      <c r="C13" s="69"/>
      <c r="D13" s="70"/>
      <c r="E13" s="70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76"/>
    </row>
    <row r="14" spans="1:15" x14ac:dyDescent="0.2">
      <c r="A14" s="1" t="s">
        <v>4</v>
      </c>
      <c r="B14" s="1" t="s">
        <v>7</v>
      </c>
      <c r="C14" s="69"/>
      <c r="D14" s="70"/>
      <c r="E14" s="70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76"/>
    </row>
    <row r="16" spans="1:15" x14ac:dyDescent="0.2">
      <c r="A16" s="1" t="s">
        <v>2</v>
      </c>
      <c r="B16" s="1" t="s">
        <v>5</v>
      </c>
      <c r="C16" s="69" t="s">
        <v>44</v>
      </c>
      <c r="D16" s="70" t="s">
        <v>19</v>
      </c>
      <c r="E16" s="70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76" t="s">
        <v>36</v>
      </c>
    </row>
    <row r="17" spans="1:14" x14ac:dyDescent="0.2">
      <c r="A17" s="1" t="s">
        <v>3</v>
      </c>
      <c r="B17" s="1" t="s">
        <v>6</v>
      </c>
      <c r="C17" s="69"/>
      <c r="D17" s="70"/>
      <c r="E17" s="70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76"/>
    </row>
    <row r="18" spans="1:14" x14ac:dyDescent="0.2">
      <c r="A18" s="1" t="s">
        <v>4</v>
      </c>
      <c r="B18" s="1" t="s">
        <v>7</v>
      </c>
      <c r="C18" s="69"/>
      <c r="D18" s="70"/>
      <c r="E18" s="70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76"/>
    </row>
    <row r="20" spans="1:14" x14ac:dyDescent="0.2">
      <c r="A20" s="1" t="s">
        <v>2</v>
      </c>
      <c r="B20" s="1" t="s">
        <v>5</v>
      </c>
      <c r="C20" s="69" t="s">
        <v>45</v>
      </c>
      <c r="D20" s="70" t="s">
        <v>20</v>
      </c>
      <c r="E20" s="70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76" t="s">
        <v>35</v>
      </c>
    </row>
    <row r="21" spans="1:14" x14ac:dyDescent="0.2">
      <c r="A21" s="1" t="s">
        <v>3</v>
      </c>
      <c r="B21" s="1" t="s">
        <v>6</v>
      </c>
      <c r="C21" s="69"/>
      <c r="D21" s="70"/>
      <c r="E21" s="70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76"/>
    </row>
    <row r="22" spans="1:14" x14ac:dyDescent="0.2">
      <c r="A22" s="1" t="s">
        <v>4</v>
      </c>
      <c r="B22" s="1" t="s">
        <v>7</v>
      </c>
      <c r="C22" s="69"/>
      <c r="D22" s="70"/>
      <c r="E22" s="70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76"/>
    </row>
    <row r="24" spans="1:14" x14ac:dyDescent="0.2">
      <c r="A24" s="1" t="s">
        <v>2</v>
      </c>
      <c r="B24" s="1" t="s">
        <v>5</v>
      </c>
      <c r="C24" s="69" t="s">
        <v>46</v>
      </c>
      <c r="D24" s="70" t="s">
        <v>21</v>
      </c>
      <c r="E24" s="70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69"/>
      <c r="D25" s="70"/>
      <c r="E25" s="70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69"/>
      <c r="D26" s="70"/>
      <c r="E26" s="70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69" t="s">
        <v>47</v>
      </c>
      <c r="D28" s="70" t="s">
        <v>22</v>
      </c>
      <c r="E28" s="70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69"/>
      <c r="D29" s="70"/>
      <c r="E29" s="70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69"/>
      <c r="D30" s="70"/>
      <c r="E30" s="70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69" t="s">
        <v>48</v>
      </c>
      <c r="D32" s="70" t="s">
        <v>23</v>
      </c>
      <c r="E32" s="70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69"/>
      <c r="D33" s="70"/>
      <c r="E33" s="70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69"/>
      <c r="D34" s="70"/>
      <c r="E34" s="70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69" t="s">
        <v>49</v>
      </c>
      <c r="D36" s="70" t="s">
        <v>24</v>
      </c>
      <c r="E36" s="70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69"/>
      <c r="D37" s="70"/>
      <c r="E37" s="70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69"/>
      <c r="D38" s="70"/>
      <c r="E38" s="70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78" t="s">
        <v>38</v>
      </c>
      <c r="B40" s="78"/>
      <c r="C40" s="78"/>
      <c r="D40" s="78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9" t="s">
        <v>50</v>
      </c>
      <c r="D42" s="70" t="s">
        <v>25</v>
      </c>
      <c r="E42" s="70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76" t="s">
        <v>30</v>
      </c>
    </row>
    <row r="43" spans="1:14" x14ac:dyDescent="0.2">
      <c r="A43" s="1" t="s">
        <v>3</v>
      </c>
      <c r="B43" s="1" t="s">
        <v>6</v>
      </c>
      <c r="C43" s="69"/>
      <c r="D43" s="70"/>
      <c r="E43" s="70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76"/>
    </row>
    <row r="44" spans="1:14" x14ac:dyDescent="0.2">
      <c r="A44" s="1" t="s">
        <v>4</v>
      </c>
      <c r="B44" s="1" t="s">
        <v>7</v>
      </c>
      <c r="C44" s="69"/>
      <c r="D44" s="70"/>
      <c r="E44" s="70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76"/>
    </row>
    <row r="46" spans="1:14" x14ac:dyDescent="0.2">
      <c r="A46" s="1" t="s">
        <v>2</v>
      </c>
      <c r="B46" s="1" t="s">
        <v>5</v>
      </c>
      <c r="C46" s="69" t="s">
        <v>51</v>
      </c>
      <c r="D46" s="70" t="s">
        <v>26</v>
      </c>
      <c r="E46" s="70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76" t="s">
        <v>31</v>
      </c>
    </row>
    <row r="47" spans="1:14" x14ac:dyDescent="0.2">
      <c r="A47" s="1" t="s">
        <v>3</v>
      </c>
      <c r="B47" s="1" t="s">
        <v>6</v>
      </c>
      <c r="C47" s="69"/>
      <c r="D47" s="70"/>
      <c r="E47" s="70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76"/>
    </row>
    <row r="48" spans="1:14" x14ac:dyDescent="0.2">
      <c r="A48" s="1" t="s">
        <v>4</v>
      </c>
      <c r="B48" s="1" t="s">
        <v>7</v>
      </c>
      <c r="C48" s="69"/>
      <c r="D48" s="70"/>
      <c r="E48" s="70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76"/>
    </row>
    <row r="50" spans="1:14" x14ac:dyDescent="0.2">
      <c r="A50" s="1" t="s">
        <v>2</v>
      </c>
      <c r="B50" s="1" t="s">
        <v>5</v>
      </c>
      <c r="C50" s="69" t="s">
        <v>52</v>
      </c>
      <c r="D50" s="70" t="s">
        <v>39</v>
      </c>
      <c r="E50" s="70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69"/>
      <c r="D51" s="70"/>
      <c r="E51" s="70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69"/>
      <c r="D52" s="70"/>
      <c r="E52" s="70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77" t="s">
        <v>59</v>
      </c>
      <c r="B55" s="77"/>
      <c r="C55" s="77"/>
      <c r="D55" s="77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79" t="s">
        <v>60</v>
      </c>
      <c r="B56" s="79"/>
      <c r="C56" s="79"/>
      <c r="D56" s="79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82" t="s">
        <v>64</v>
      </c>
      <c r="B58" s="82"/>
      <c r="C58" s="82"/>
      <c r="D58" s="82"/>
      <c r="E58" s="82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83" t="s">
        <v>65</v>
      </c>
      <c r="B59" s="83"/>
      <c r="C59" s="83"/>
      <c r="D59" s="83"/>
      <c r="E59" s="83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84" t="s">
        <v>66</v>
      </c>
      <c r="B60" s="84"/>
      <c r="C60" s="84"/>
      <c r="D60" s="84"/>
      <c r="E60" s="84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80" t="s">
        <v>83</v>
      </c>
      <c r="B62" s="80"/>
      <c r="C62" s="80"/>
      <c r="D62" s="80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80" t="s">
        <v>84</v>
      </c>
      <c r="B63" s="81"/>
      <c r="C63" s="81"/>
      <c r="D63" s="81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80" t="s">
        <v>85</v>
      </c>
      <c r="B64" s="81"/>
      <c r="C64" s="81"/>
      <c r="D64" s="81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3"/>
  <sheetViews>
    <sheetView topLeftCell="D1" zoomScaleNormal="100" workbookViewId="0">
      <pane ySplit="1" topLeftCell="A77" activePane="bottomLeft" state="frozen"/>
      <selection pane="bottomLeft" activeCell="K87" sqref="K87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9" t="s">
        <v>71</v>
      </c>
      <c r="B3" s="79"/>
      <c r="C3" s="79"/>
      <c r="D3" s="79"/>
      <c r="E3" s="79"/>
      <c r="F3" s="79"/>
      <c r="G3" s="79"/>
      <c r="H3" s="79"/>
      <c r="I3" s="79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76" t="s">
        <v>67</v>
      </c>
      <c r="D5" s="76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76"/>
      <c r="D6" s="76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76"/>
      <c r="D7" s="76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76" t="s">
        <v>69</v>
      </c>
      <c r="D9" s="76" t="s">
        <v>70</v>
      </c>
      <c r="E9" s="11">
        <v>5.1094890499999997E-2</v>
      </c>
      <c r="F9" s="11">
        <v>9.9884747999999992E-3</v>
      </c>
      <c r="G9" s="11">
        <v>0.4692662313</v>
      </c>
      <c r="H9" s="54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76"/>
      <c r="D10" s="76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76"/>
      <c r="D11" s="76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76" t="s">
        <v>74</v>
      </c>
      <c r="D13" s="76" t="s">
        <v>81</v>
      </c>
      <c r="E13" s="11">
        <v>2.40651965E-2</v>
      </c>
      <c r="F13" s="11">
        <v>2.3010546000000001E-3</v>
      </c>
      <c r="G13" s="11">
        <v>0.39271332689999999</v>
      </c>
      <c r="H13" s="11">
        <v>0.50992464810000004</v>
      </c>
      <c r="I13" s="11">
        <v>0.49790253379999999</v>
      </c>
      <c r="J13" s="11">
        <f>SUM(E13*1/3,F13*1/3,H13*1/3)</f>
        <v>0.17876363306666671</v>
      </c>
      <c r="K13" s="11">
        <f>SUM(G13*1/2,I13*1/2)</f>
        <v>0.44530793034999999</v>
      </c>
      <c r="L13" s="11">
        <f>SUM(E13*1/5,F13*1/5,G13*1/5,H13*1/5,I13*1/5)</f>
        <v>0.28538135198000003</v>
      </c>
    </row>
    <row r="14" spans="1:14" x14ac:dyDescent="0.2">
      <c r="A14" s="1" t="s">
        <v>3</v>
      </c>
      <c r="B14" s="1" t="s">
        <v>6</v>
      </c>
      <c r="C14" s="76"/>
      <c r="D14" s="76"/>
      <c r="E14" s="11">
        <v>3.5474592999999999E-3</v>
      </c>
      <c r="F14" s="11">
        <v>4.7938640000000002E-4</v>
      </c>
      <c r="G14" s="11">
        <v>0.28053691279999998</v>
      </c>
      <c r="H14" s="11">
        <v>0.50108990590000002</v>
      </c>
      <c r="I14" s="11">
        <v>0.48514601400000001</v>
      </c>
      <c r="J14" s="11">
        <f>SUM(E14*1/3,F14*1/3,H14*1/3)</f>
        <v>0.16837225053333332</v>
      </c>
      <c r="K14" s="11">
        <f>SUM(G14*1/2,I14*1/2)</f>
        <v>0.38284146340000003</v>
      </c>
      <c r="L14" s="11">
        <f>SUM(E14*1/5,F14*1/5,G14*1/5,H14*1/5,I14*1/5)</f>
        <v>0.25415993568</v>
      </c>
    </row>
    <row r="15" spans="1:14" x14ac:dyDescent="0.2">
      <c r="A15" s="1" t="s">
        <v>4</v>
      </c>
      <c r="B15" s="1" t="s">
        <v>7</v>
      </c>
      <c r="C15" s="76"/>
      <c r="D15" s="76"/>
      <c r="E15" s="11">
        <v>3.8350910000000001E-4</v>
      </c>
      <c r="F15" s="11">
        <v>1.5340365000000001E-3</v>
      </c>
      <c r="G15" s="11">
        <v>0.75973154359999995</v>
      </c>
      <c r="H15" s="11">
        <v>0.51676152419999999</v>
      </c>
      <c r="I15" s="11">
        <v>0.50086111280000001</v>
      </c>
      <c r="J15" s="11">
        <f>SUM(E15*1/3,F15*1/3,H15*1/3)</f>
        <v>0.17289302326666667</v>
      </c>
      <c r="K15" s="11">
        <f>SUM(G15*1/2,I15*1/2)</f>
        <v>0.63029632820000003</v>
      </c>
      <c r="L15" s="11">
        <f>SUM(E15*1/5,F15*1/5,G15*1/5,H15*1/5,I15*1/5)</f>
        <v>0.35585434523999993</v>
      </c>
    </row>
    <row r="17" spans="1:12" s="63" customFormat="1" x14ac:dyDescent="0.2">
      <c r="A17" s="63" t="s">
        <v>2</v>
      </c>
      <c r="B17" s="63" t="s">
        <v>5</v>
      </c>
      <c r="C17" s="76" t="s">
        <v>80</v>
      </c>
      <c r="D17" s="76" t="s">
        <v>79</v>
      </c>
      <c r="E17" s="64">
        <v>3.5474592999999999E-3</v>
      </c>
      <c r="F17" s="64">
        <v>2.3969319E-3</v>
      </c>
      <c r="G17" s="64">
        <v>0.68648130389999995</v>
      </c>
      <c r="H17" s="64">
        <v>0.73279006160000004</v>
      </c>
      <c r="I17" s="65">
        <v>0.70502058919999999</v>
      </c>
      <c r="J17" s="64">
        <f>SUM(E17*1/3,F17*1/3,H17*1/3)</f>
        <v>0.2462448176</v>
      </c>
      <c r="K17" s="64">
        <f>SUM(G17*1/2,I17*1/2)</f>
        <v>0.69575094655000003</v>
      </c>
      <c r="L17" s="64">
        <f>SUM(E17*1/5,F17*1/5,G17*1/5,H17*1/5,I17*1/5)</f>
        <v>0.42604726918000002</v>
      </c>
    </row>
    <row r="18" spans="1:12" x14ac:dyDescent="0.2">
      <c r="A18" s="1" t="s">
        <v>3</v>
      </c>
      <c r="B18" s="1" t="s">
        <v>6</v>
      </c>
      <c r="C18" s="76"/>
      <c r="D18" s="76"/>
      <c r="E18" s="11">
        <v>3.0680729000000001E-3</v>
      </c>
      <c r="F18" s="11">
        <v>2.5886864999999999E-3</v>
      </c>
      <c r="G18" s="11">
        <v>0.51505273250000005</v>
      </c>
      <c r="H18" s="11">
        <v>0.60190347580000003</v>
      </c>
      <c r="I18" s="11">
        <v>0.52140253719999996</v>
      </c>
      <c r="J18" s="11">
        <f>SUM(E18*1/3,F18*1/3,H18*1/3)</f>
        <v>0.20252007840000003</v>
      </c>
      <c r="K18" s="11">
        <f>SUM(G18*1/2,I18*1/2)</f>
        <v>0.51822763485000001</v>
      </c>
      <c r="L18" s="11">
        <f>SUM(E18*1/5,F18*1/5,G18*1/5,H18*1/5,I18*1/5)</f>
        <v>0.32880310098000004</v>
      </c>
    </row>
    <row r="19" spans="1:12" x14ac:dyDescent="0.2">
      <c r="A19" s="1" t="s">
        <v>4</v>
      </c>
      <c r="B19" s="1" t="s">
        <v>7</v>
      </c>
      <c r="C19" s="76"/>
      <c r="D19" s="76"/>
      <c r="E19" s="11">
        <v>2.876318E-4</v>
      </c>
      <c r="F19" s="11">
        <v>1.0546500999999999E-3</v>
      </c>
      <c r="G19" s="11">
        <v>3.79674017E-2</v>
      </c>
      <c r="H19" s="11">
        <v>0.48511697329999998</v>
      </c>
      <c r="I19" s="11">
        <v>0.43752120239999998</v>
      </c>
      <c r="J19" s="11">
        <f>SUM(E19*1/3,F19*1/3,H19*1/3)</f>
        <v>0.16215308506666665</v>
      </c>
      <c r="K19" s="11">
        <f>SUM(G19*1/2,I19*1/2)</f>
        <v>0.23774430204999999</v>
      </c>
      <c r="L19" s="11">
        <f>SUM(E19*1/5,F19*1/5,G19*1/5,H19*1/5,I19*1/5)</f>
        <v>0.19238957186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76" t="s">
        <v>72</v>
      </c>
      <c r="D21" s="76" t="s">
        <v>73</v>
      </c>
      <c r="E21" s="11">
        <v>8.2742090099999999E-2</v>
      </c>
      <c r="F21" s="11">
        <v>1.6107382600000001E-2</v>
      </c>
      <c r="G21" s="11">
        <v>0.4293384468</v>
      </c>
      <c r="H21" s="11">
        <v>0.86991481869999998</v>
      </c>
      <c r="I21" s="11">
        <v>0.40505853110000001</v>
      </c>
      <c r="J21" s="11">
        <f>SUM(E21*1/3,F21*1/3,H21*1/3)</f>
        <v>0.32292143046666666</v>
      </c>
      <c r="K21" s="11">
        <f>SUM(G21*1/2,I21*1/2)</f>
        <v>0.41719848895</v>
      </c>
      <c r="L21" s="11">
        <f>SUM(E21*1/5,F21*1/5,G21*1/5,H21*1/5,I21*1/5)</f>
        <v>0.36063225385999997</v>
      </c>
    </row>
    <row r="22" spans="1:12" x14ac:dyDescent="0.2">
      <c r="A22" s="1" t="s">
        <v>3</v>
      </c>
      <c r="B22" s="1" t="s">
        <v>6</v>
      </c>
      <c r="C22" s="76"/>
      <c r="D22" s="76"/>
      <c r="E22" s="11">
        <v>3.1639501E-3</v>
      </c>
      <c r="F22" s="11">
        <v>1.4381591999999999E-3</v>
      </c>
      <c r="G22" s="11">
        <v>0.26596356659999998</v>
      </c>
      <c r="H22" s="11">
        <v>0.48894575070000001</v>
      </c>
      <c r="I22" s="11">
        <v>0.47475261759999998</v>
      </c>
      <c r="J22" s="11">
        <f>SUM(E22*1/3,F22*1/3,H22*1/3)</f>
        <v>0.16451595333333333</v>
      </c>
      <c r="K22" s="11">
        <f>SUM(G22*1/2,I22*1/2)</f>
        <v>0.37035809209999998</v>
      </c>
      <c r="L22" s="11">
        <f>SUM(E22*1/5,F22*1/5,G22*1/5,H22*1/5,I22*1/5)</f>
        <v>0.24685280883999999</v>
      </c>
    </row>
    <row r="23" spans="1:12" x14ac:dyDescent="0.2">
      <c r="A23" s="1" t="s">
        <v>4</v>
      </c>
      <c r="B23" s="1" t="s">
        <v>7</v>
      </c>
      <c r="C23" s="76"/>
      <c r="D23" s="76"/>
      <c r="E23" s="11">
        <v>1.917546E-4</v>
      </c>
      <c r="F23" s="11">
        <v>4.5062319999999998E-3</v>
      </c>
      <c r="G23" s="54">
        <v>0.79884947269999995</v>
      </c>
      <c r="H23" s="11">
        <v>0.53313908909999996</v>
      </c>
      <c r="I23" s="11">
        <v>0.50595402629999997</v>
      </c>
      <c r="J23" s="11">
        <f>SUM(E23*1/3,F23*1/3,H23*1/3)</f>
        <v>0.17927902523333333</v>
      </c>
      <c r="K23" s="11">
        <f>SUM(G23*1/2,I23*1/2)</f>
        <v>0.65240174949999996</v>
      </c>
      <c r="L23" s="11">
        <f>SUM(E23*1/5,F23*1/5,G23*1/5,H23*1/5,I23*1/5)</f>
        <v>0.36852811494000004</v>
      </c>
    </row>
    <row r="25" spans="1:12" x14ac:dyDescent="0.2">
      <c r="A25" s="1" t="s">
        <v>2</v>
      </c>
      <c r="B25" s="1" t="s">
        <v>5</v>
      </c>
      <c r="C25" s="76" t="s">
        <v>77</v>
      </c>
      <c r="D25" s="76" t="s">
        <v>75</v>
      </c>
      <c r="E25" s="11">
        <v>4.0172579100000001E-2</v>
      </c>
      <c r="F25" s="11">
        <v>3.6433364999999998E-3</v>
      </c>
      <c r="G25" s="11">
        <v>0.31735378720000001</v>
      </c>
      <c r="H25" s="11">
        <v>0.66111389819999999</v>
      </c>
      <c r="I25" s="11">
        <v>0.4401939782</v>
      </c>
      <c r="J25" s="11">
        <f>SUM(E25*1/3,F25*1/3,H25*1/3)</f>
        <v>0.2349766046</v>
      </c>
      <c r="K25" s="11">
        <f>SUM(G25*1/2,I25*1/2)</f>
        <v>0.37877388270000001</v>
      </c>
      <c r="L25" s="11">
        <f>SUM(E25*1/5,F25*1/5,G25*1/5,H25*1/5,I25*1/5)</f>
        <v>0.29249551584</v>
      </c>
    </row>
    <row r="26" spans="1:12" x14ac:dyDescent="0.2">
      <c r="A26" s="1" t="s">
        <v>3</v>
      </c>
      <c r="B26" s="1" t="s">
        <v>6</v>
      </c>
      <c r="C26" s="76"/>
      <c r="D26" s="76"/>
      <c r="E26" s="11">
        <v>1.70661553E-2</v>
      </c>
      <c r="F26" s="11">
        <v>2.1093001000000002E-3</v>
      </c>
      <c r="G26" s="11">
        <v>0.37142857140000002</v>
      </c>
      <c r="H26" s="11">
        <v>0.52517104670000003</v>
      </c>
      <c r="I26" s="11">
        <v>0.51303041270000005</v>
      </c>
      <c r="J26" s="11">
        <f>SUM(E26*1/3,F26*1/3,H26*1/3)</f>
        <v>0.18144883403333334</v>
      </c>
      <c r="K26" s="11">
        <f>SUM(G26*1/2,I26*1/2)</f>
        <v>0.44222949205000006</v>
      </c>
      <c r="L26" s="11">
        <f>SUM(E26*1/5,F26*1/5,G26*1/5,H26*1/5,I26*1/5)</f>
        <v>0.28576109723999998</v>
      </c>
    </row>
    <row r="27" spans="1:12" x14ac:dyDescent="0.2">
      <c r="A27" s="1" t="s">
        <v>4</v>
      </c>
      <c r="B27" s="1" t="s">
        <v>7</v>
      </c>
      <c r="C27" s="76"/>
      <c r="D27" s="76"/>
      <c r="E27" s="11">
        <v>6.7114089999999996E-4</v>
      </c>
      <c r="F27" s="11">
        <v>6.7114089999999996E-4</v>
      </c>
      <c r="G27" s="11">
        <v>0.36260786189999999</v>
      </c>
      <c r="H27" s="11">
        <v>0.50055614439999996</v>
      </c>
      <c r="I27" s="11">
        <v>0.47861351050000001</v>
      </c>
      <c r="J27" s="11">
        <f>SUM(E27*1/3,F27*1/3,H27*1/3)</f>
        <v>0.16729947539999998</v>
      </c>
      <c r="K27" s="11">
        <f>SUM(G27*1/2,I27*1/2)</f>
        <v>0.42061068619999997</v>
      </c>
      <c r="L27" s="11">
        <f>SUM(E27*1/5,F27*1/5,G27*1/5,H27*1/5,I27*1/5)</f>
        <v>0.26862395971999997</v>
      </c>
    </row>
    <row r="29" spans="1:12" x14ac:dyDescent="0.2">
      <c r="A29" s="1" t="s">
        <v>2</v>
      </c>
      <c r="B29" s="1" t="s">
        <v>5</v>
      </c>
      <c r="C29" s="76" t="s">
        <v>78</v>
      </c>
      <c r="D29" s="76" t="s">
        <v>76</v>
      </c>
      <c r="E29" s="11">
        <v>7.3250239699999997E-2</v>
      </c>
      <c r="F29" s="11">
        <v>1.36145733E-2</v>
      </c>
      <c r="G29" s="11">
        <v>0.104506232</v>
      </c>
      <c r="H29" s="11">
        <v>0.59471253369999999</v>
      </c>
      <c r="I29" s="11">
        <v>0.36557713930000002</v>
      </c>
      <c r="J29" s="11">
        <f>SUM(E29*1/3,F29*1/3,H29*1/3)</f>
        <v>0.22719244890000001</v>
      </c>
      <c r="K29" s="11">
        <f>SUM(G29*1/2,I29*1/2)</f>
        <v>0.23504168565</v>
      </c>
      <c r="L29" s="11">
        <f>SUM(E29*1/5,F29*1/5,G29*1/5,H29*1/5,I29*1/5)</f>
        <v>0.23033214360000001</v>
      </c>
    </row>
    <row r="30" spans="1:12" x14ac:dyDescent="0.2">
      <c r="A30" s="1" t="s">
        <v>3</v>
      </c>
      <c r="B30" s="1" t="s">
        <v>6</v>
      </c>
      <c r="C30" s="76"/>
      <c r="D30" s="76"/>
      <c r="E30" s="11">
        <v>7.2866731000000001E-3</v>
      </c>
      <c r="F30" s="11">
        <v>2.4928092E-3</v>
      </c>
      <c r="G30" s="11">
        <v>0.40325982739999999</v>
      </c>
      <c r="H30" s="11">
        <v>0.50791210740000003</v>
      </c>
      <c r="I30" s="11">
        <v>0.49345779690000002</v>
      </c>
      <c r="J30" s="11">
        <f>SUM(E30*1/3,F30*1/3,H30*1/3)</f>
        <v>0.17256386323333334</v>
      </c>
      <c r="K30" s="11">
        <f>SUM(G30*1/2,I30*1/2)</f>
        <v>0.44835881215000001</v>
      </c>
      <c r="L30" s="11">
        <f>SUM(E30*1/5,F30*1/5,G30*1/5,H30*1/5,I30*1/5)</f>
        <v>0.28288184280000001</v>
      </c>
    </row>
    <row r="31" spans="1:12" x14ac:dyDescent="0.2">
      <c r="A31" s="1" t="s">
        <v>4</v>
      </c>
      <c r="B31" s="1" t="s">
        <v>7</v>
      </c>
      <c r="C31" s="76"/>
      <c r="D31" s="76"/>
      <c r="E31" s="11">
        <v>0</v>
      </c>
      <c r="F31" s="11">
        <v>1.6299137E-3</v>
      </c>
      <c r="G31" s="11">
        <v>0.25790987539999999</v>
      </c>
      <c r="H31" s="11">
        <v>0.48580648799999998</v>
      </c>
      <c r="I31" s="11">
        <v>0.48836600340000003</v>
      </c>
      <c r="J31" s="11">
        <f>SUM(E31*1/3,F31*1/3,H31*1/3)</f>
        <v>0.16247880056666666</v>
      </c>
      <c r="K31" s="11">
        <f>SUM(G31*1/2,I31*1/2)</f>
        <v>0.37313793940000001</v>
      </c>
      <c r="L31" s="11">
        <f>SUM(E31*1/5,F31*1/5,G31*1/5,H31*1/5,I31*1/5)</f>
        <v>0.24674245610000001</v>
      </c>
    </row>
    <row r="34" spans="1:14" s="14" customFormat="1" x14ac:dyDescent="0.2">
      <c r="A34" s="77" t="s">
        <v>59</v>
      </c>
      <c r="B34" s="77"/>
      <c r="C34" s="77"/>
      <c r="D34" s="77"/>
      <c r="E34" s="16">
        <f t="shared" ref="E34:L34" si="0">MAX(E4:E32)</f>
        <v>8.2742090099999999E-2</v>
      </c>
      <c r="F34" s="16">
        <f t="shared" si="0"/>
        <v>1.6107382600000001E-2</v>
      </c>
      <c r="G34" s="16">
        <f t="shared" si="0"/>
        <v>0.79884947269999995</v>
      </c>
      <c r="H34" s="16">
        <f t="shared" si="0"/>
        <v>0.89344463880000002</v>
      </c>
      <c r="I34" s="16">
        <f t="shared" si="0"/>
        <v>0.70502058919999999</v>
      </c>
      <c r="J34" s="16">
        <f t="shared" si="0"/>
        <v>0.32292143046666666</v>
      </c>
      <c r="K34" s="16">
        <f t="shared" si="0"/>
        <v>0.69575094655000003</v>
      </c>
      <c r="L34" s="16">
        <f t="shared" si="0"/>
        <v>0.42604726918000002</v>
      </c>
      <c r="M34" s="16"/>
      <c r="N34" s="17"/>
    </row>
    <row r="35" spans="1:14" s="52" customFormat="1" x14ac:dyDescent="0.2">
      <c r="A35" s="82" t="s">
        <v>60</v>
      </c>
      <c r="B35" s="82"/>
      <c r="C35" s="82"/>
      <c r="D35" s="82"/>
      <c r="E35" s="29">
        <f t="shared" ref="E35:L35" si="1">AVERAGE(E5:E32)</f>
        <v>2.0975477057142849E-2</v>
      </c>
      <c r="F35" s="29">
        <f t="shared" si="1"/>
        <v>4.2395303095238103E-3</v>
      </c>
      <c r="G35" s="29">
        <f t="shared" si="1"/>
        <v>0.36637347650000002</v>
      </c>
      <c r="H35" s="29">
        <f t="shared" si="1"/>
        <v>0.60164974021428563</v>
      </c>
      <c r="I35" s="29">
        <f t="shared" si="1"/>
        <v>0.47145003103333344</v>
      </c>
      <c r="J35" s="29">
        <f t="shared" si="1"/>
        <v>0.20895491586031745</v>
      </c>
      <c r="K35" s="29">
        <f t="shared" si="1"/>
        <v>0.41891175376666662</v>
      </c>
      <c r="L35" s="29">
        <f t="shared" si="1"/>
        <v>0.29293765102285718</v>
      </c>
      <c r="M35" s="29"/>
      <c r="N35" s="58"/>
    </row>
    <row r="37" spans="1:14" s="47" customFormat="1" x14ac:dyDescent="0.2">
      <c r="A37" s="79" t="s">
        <v>86</v>
      </c>
      <c r="B37" s="79"/>
      <c r="C37" s="79"/>
      <c r="D37" s="79"/>
      <c r="E37" s="79"/>
      <c r="F37" s="79"/>
      <c r="G37" s="79"/>
      <c r="H37" s="79"/>
      <c r="I37" s="79"/>
      <c r="J37" s="49"/>
      <c r="K37" s="56"/>
      <c r="L37" s="56"/>
    </row>
    <row r="38" spans="1:14" s="48" customFormat="1" x14ac:dyDescent="0.2">
      <c r="A38" s="8"/>
      <c r="B38" s="8"/>
      <c r="C38" s="8"/>
      <c r="D38" s="51"/>
      <c r="E38" s="54"/>
      <c r="F38" s="54"/>
      <c r="G38" s="54"/>
      <c r="H38" s="54"/>
      <c r="I38" s="54"/>
      <c r="J38" s="57"/>
      <c r="K38" s="57"/>
      <c r="L38" s="57"/>
    </row>
    <row r="39" spans="1:14" x14ac:dyDescent="0.2">
      <c r="A39" s="1" t="s">
        <v>2</v>
      </c>
      <c r="B39" s="1" t="s">
        <v>5</v>
      </c>
      <c r="C39" s="76" t="s">
        <v>87</v>
      </c>
      <c r="D39" s="76" t="s">
        <v>68</v>
      </c>
      <c r="E39" s="11">
        <v>3.2885905999999999E-2</v>
      </c>
      <c r="F39" s="11">
        <v>6.2320229999999997E-3</v>
      </c>
      <c r="G39" s="11">
        <v>0.50393096839999996</v>
      </c>
      <c r="H39" s="11">
        <v>0.77736178700000003</v>
      </c>
      <c r="I39" s="11">
        <v>0.43943819899999997</v>
      </c>
      <c r="J39" s="11">
        <f>SUM(E39*1/3,F39*1/3,H39*1/3)</f>
        <v>0.27215990533333334</v>
      </c>
      <c r="K39" s="11">
        <f>SUM(G39*1/2,I39*1/2)</f>
        <v>0.47168458369999999</v>
      </c>
      <c r="L39" s="11">
        <f>SUM(E39*1/5,F39*1/5,G39*1/5,H39*1/5,I39*1/5)</f>
        <v>0.35196977668000007</v>
      </c>
    </row>
    <row r="40" spans="1:14" x14ac:dyDescent="0.2">
      <c r="A40" s="1" t="s">
        <v>3</v>
      </c>
      <c r="B40" s="1" t="s">
        <v>6</v>
      </c>
      <c r="C40" s="76"/>
      <c r="D40" s="76"/>
      <c r="E40" s="11">
        <v>1.42857143E-2</v>
      </c>
      <c r="F40" s="11">
        <v>6.5196548E-3</v>
      </c>
      <c r="G40" s="11">
        <v>0.41303930970000002</v>
      </c>
      <c r="H40" s="11">
        <v>0.6898911875</v>
      </c>
      <c r="I40" s="11">
        <v>0.46205572309999998</v>
      </c>
      <c r="J40" s="11">
        <f>SUM(E40*1/3,F40*1/3,H40*1/3)</f>
        <v>0.23689885219999998</v>
      </c>
      <c r="K40" s="11">
        <f>SUM(G40*1/2,I40*1/2)</f>
        <v>0.4375475164</v>
      </c>
      <c r="L40" s="11">
        <f>SUM(E40*1/5,F40*1/5,G40*1/5,H40*1/5,I40*1/5)</f>
        <v>0.31715831787999998</v>
      </c>
    </row>
    <row r="41" spans="1:14" x14ac:dyDescent="0.2">
      <c r="A41" s="1" t="s">
        <v>4</v>
      </c>
      <c r="B41" s="1" t="s">
        <v>7</v>
      </c>
      <c r="C41" s="76"/>
      <c r="D41" s="76"/>
      <c r="E41" s="11">
        <v>3.8350910000000001E-4</v>
      </c>
      <c r="F41" s="11">
        <v>1.4381591999999999E-3</v>
      </c>
      <c r="G41" s="11">
        <v>9.7794822599999998E-2</v>
      </c>
      <c r="H41" s="11">
        <v>0.45026455949999999</v>
      </c>
      <c r="I41" s="11">
        <v>0.46414172419999999</v>
      </c>
      <c r="J41" s="11">
        <f>SUM(E41*1/3,F41*1/3,H41*1/3)</f>
        <v>0.15069540926666666</v>
      </c>
      <c r="K41" s="11">
        <f>SUM(G41*1/2,I41*1/2)</f>
        <v>0.28096827339999997</v>
      </c>
      <c r="L41" s="11">
        <f>SUM(E41*1/5,F41*1/5,G41*1/5,H41*1/5,I41*1/5)</f>
        <v>0.20280455491999999</v>
      </c>
    </row>
    <row r="43" spans="1:14" x14ac:dyDescent="0.2">
      <c r="A43" s="1" t="s">
        <v>2</v>
      </c>
      <c r="B43" s="1" t="s">
        <v>5</v>
      </c>
      <c r="C43" s="76" t="s">
        <v>88</v>
      </c>
      <c r="D43" s="76" t="s">
        <v>70</v>
      </c>
      <c r="E43" s="11">
        <v>4.0364333699999998E-2</v>
      </c>
      <c r="F43" s="11">
        <v>3.3557047E-3</v>
      </c>
      <c r="G43" s="11">
        <v>0.32425695110000002</v>
      </c>
      <c r="H43" s="11">
        <v>0.70605234920000004</v>
      </c>
      <c r="I43" s="11">
        <v>0.43611723260000002</v>
      </c>
      <c r="J43" s="11">
        <f>SUM(E43*1/3,F43*1/3,H43*1/3)</f>
        <v>0.24992412920000001</v>
      </c>
      <c r="K43" s="11">
        <f>SUM(G43*1/2,I43*1/2)</f>
        <v>0.38018709184999999</v>
      </c>
      <c r="L43" s="11">
        <f>SUM(E43*1/5,F43*1/5,G43*1/5,H43*1/5,I43*1/5)</f>
        <v>0.30202931426000001</v>
      </c>
    </row>
    <row r="44" spans="1:14" x14ac:dyDescent="0.2">
      <c r="A44" s="1" t="s">
        <v>3</v>
      </c>
      <c r="B44" s="1" t="s">
        <v>6</v>
      </c>
      <c r="C44" s="76"/>
      <c r="D44" s="76"/>
      <c r="E44" s="11">
        <v>2.8475551299999999E-2</v>
      </c>
      <c r="F44" s="11">
        <v>1.0546500999999999E-3</v>
      </c>
      <c r="G44" s="11">
        <v>0.5637583893</v>
      </c>
      <c r="H44" s="54">
        <v>0.85501700719999996</v>
      </c>
      <c r="I44" s="11">
        <v>0.43641871859999998</v>
      </c>
      <c r="J44" s="54">
        <f>SUM(E44*1/3,F44*1/3,H44*1/3)</f>
        <v>0.29484906953333329</v>
      </c>
      <c r="K44" s="11">
        <f>SUM(G44*1/2,I44*1/2)</f>
        <v>0.50008855394999996</v>
      </c>
      <c r="L44" s="11">
        <f>SUM(E44*1/5,F44*1/5,G44*1/5,H44*1/5,I44*1/5)</f>
        <v>0.37694486329999999</v>
      </c>
    </row>
    <row r="45" spans="1:14" x14ac:dyDescent="0.2">
      <c r="A45" s="1" t="s">
        <v>4</v>
      </c>
      <c r="B45" s="1" t="s">
        <v>7</v>
      </c>
      <c r="C45" s="76"/>
      <c r="D45" s="76"/>
      <c r="E45" s="11">
        <v>1.917546E-4</v>
      </c>
      <c r="F45" s="11">
        <v>2.1093001000000002E-3</v>
      </c>
      <c r="G45" s="11">
        <v>0.81073825499999996</v>
      </c>
      <c r="H45" s="11">
        <v>0.50746971929999996</v>
      </c>
      <c r="I45" s="11">
        <v>0.48343524840000002</v>
      </c>
      <c r="J45" s="11">
        <f>SUM(E45*1/3,F45*1/3,H45*1/3)</f>
        <v>0.16992359133333332</v>
      </c>
      <c r="K45" s="11">
        <f>SUM(G45*1/2,I45*1/2)</f>
        <v>0.64708675169999996</v>
      </c>
      <c r="L45" s="11">
        <f>SUM(E45*1/5,F45*1/5,G45*1/5,H45*1/5,I45*1/5)</f>
        <v>0.36078885547999995</v>
      </c>
    </row>
    <row r="47" spans="1:14" x14ac:dyDescent="0.2">
      <c r="A47" s="1" t="s">
        <v>2</v>
      </c>
      <c r="B47" s="1" t="s">
        <v>5</v>
      </c>
      <c r="C47" s="76" t="s">
        <v>89</v>
      </c>
      <c r="D47" s="76" t="s">
        <v>81</v>
      </c>
      <c r="E47" s="11">
        <v>2.1572387299999999E-2</v>
      </c>
      <c r="F47" s="11">
        <v>1.725791E-3</v>
      </c>
      <c r="G47" s="11">
        <v>0.21380632790000001</v>
      </c>
      <c r="H47" s="11">
        <v>0.4996014688</v>
      </c>
      <c r="I47" s="11">
        <v>0.49415116780000001</v>
      </c>
      <c r="J47" s="11">
        <f>SUM(E47*1/3,F47*1/3,H47*1/3)</f>
        <v>0.17429988236666666</v>
      </c>
      <c r="K47" s="11">
        <f>SUM(G47*1/2,I47*1/2)</f>
        <v>0.35397874785</v>
      </c>
      <c r="L47" s="11">
        <f>SUM(E47*1/5,F47*1/5,G47*1/5,H47*1/5,I47*1/5)</f>
        <v>0.24617142856000002</v>
      </c>
    </row>
    <row r="48" spans="1:14" x14ac:dyDescent="0.2">
      <c r="A48" s="1" t="s">
        <v>3</v>
      </c>
      <c r="B48" s="1" t="s">
        <v>6</v>
      </c>
      <c r="C48" s="76"/>
      <c r="D48" s="76"/>
      <c r="E48" s="11">
        <v>6.3279002999999997E-3</v>
      </c>
      <c r="F48" s="11">
        <v>3.5474592999999999E-3</v>
      </c>
      <c r="G48" s="11">
        <v>0.35973154359999998</v>
      </c>
      <c r="H48" s="11">
        <v>0.50229272930000002</v>
      </c>
      <c r="I48" s="11">
        <v>0.48684262210000001</v>
      </c>
      <c r="J48" s="11">
        <f>SUM(E48*1/3,F48*1/3,H48*1/3)</f>
        <v>0.1707226963</v>
      </c>
      <c r="K48" s="11">
        <f>SUM(G48*1/2,I48*1/2)</f>
        <v>0.42328708285</v>
      </c>
      <c r="L48" s="11">
        <f>SUM(E48*1/5,F48*1/5,G48*1/5,H48*1/5,I48*1/5)</f>
        <v>0.27174845092</v>
      </c>
    </row>
    <row r="49" spans="1:12" x14ac:dyDescent="0.2">
      <c r="A49" s="1" t="s">
        <v>4</v>
      </c>
      <c r="B49" s="1" t="s">
        <v>7</v>
      </c>
      <c r="C49" s="76"/>
      <c r="D49" s="76"/>
      <c r="E49" s="11">
        <v>2.876318E-4</v>
      </c>
      <c r="F49" s="11">
        <v>1.725791E-3</v>
      </c>
      <c r="G49" s="11">
        <v>0.67919463089999998</v>
      </c>
      <c r="H49" s="11">
        <v>0.50784208630000005</v>
      </c>
      <c r="I49" s="11">
        <v>0.4972537568</v>
      </c>
      <c r="J49" s="11">
        <f>SUM(E49*1/3,F49*1/3,H49*1/3)</f>
        <v>0.16995183636666669</v>
      </c>
      <c r="K49" s="11">
        <f>SUM(G49*1/2,I49*1/2)</f>
        <v>0.58822419385000002</v>
      </c>
      <c r="L49" s="11">
        <f>SUM(E49*1/5,F49*1/5,G49*1/5,H49*1/5,I49*1/5)</f>
        <v>0.33726077935999998</v>
      </c>
    </row>
    <row r="51" spans="1:12" s="63" customFormat="1" x14ac:dyDescent="0.2">
      <c r="A51" s="63" t="s">
        <v>2</v>
      </c>
      <c r="B51" s="63" t="s">
        <v>5</v>
      </c>
      <c r="C51" s="76" t="s">
        <v>90</v>
      </c>
      <c r="D51" s="76" t="s">
        <v>79</v>
      </c>
      <c r="E51" s="64">
        <v>1.23681687E-2</v>
      </c>
      <c r="F51" s="64">
        <v>2.6845637999999999E-3</v>
      </c>
      <c r="G51" s="64">
        <v>0.70795781400000002</v>
      </c>
      <c r="H51" s="64">
        <v>0.71314872139999996</v>
      </c>
      <c r="I51" s="65">
        <v>0.64805542540000005</v>
      </c>
      <c r="J51" s="64">
        <f>SUM(E51*1/3,F51*1/3,H51*1/3)</f>
        <v>0.24273381796666665</v>
      </c>
      <c r="K51" s="65">
        <f>SUM(G51*1/2,I51*1/2)</f>
        <v>0.67800661970000009</v>
      </c>
      <c r="L51" s="65">
        <f>SUM(E51*1/5,F51*1/5,G51*1/5,H51*1/5,I51*1/5)</f>
        <v>0.41684293866000005</v>
      </c>
    </row>
    <row r="52" spans="1:12" x14ac:dyDescent="0.2">
      <c r="A52" s="1" t="s">
        <v>3</v>
      </c>
      <c r="B52" s="1" t="s">
        <v>6</v>
      </c>
      <c r="C52" s="76"/>
      <c r="D52" s="76"/>
      <c r="E52" s="11">
        <v>2.0134227999999998E-3</v>
      </c>
      <c r="F52" s="11">
        <v>7.6701829999999995E-4</v>
      </c>
      <c r="G52" s="11">
        <v>0.27823585810000001</v>
      </c>
      <c r="H52" s="11">
        <v>0.50316636969999995</v>
      </c>
      <c r="I52" s="11">
        <v>0.47961395620000002</v>
      </c>
      <c r="J52" s="11">
        <f>SUM(E52*1/3,F52*1/3,H52*1/3)</f>
        <v>0.16864893693333333</v>
      </c>
      <c r="K52" s="11">
        <f>SUM(G52*1/2,I52*1/2)</f>
        <v>0.37892490715000005</v>
      </c>
      <c r="L52" s="11">
        <f>SUM(E52*1/5,F52*1/5,G52*1/5,H52*1/5,I52*1/5)</f>
        <v>0.25275932501999998</v>
      </c>
    </row>
    <row r="53" spans="1:12" x14ac:dyDescent="0.2">
      <c r="A53" s="1" t="s">
        <v>4</v>
      </c>
      <c r="B53" s="1" t="s">
        <v>7</v>
      </c>
      <c r="C53" s="76"/>
      <c r="D53" s="76"/>
      <c r="E53" s="11">
        <v>1.917546E-4</v>
      </c>
      <c r="F53" s="11">
        <v>1.1505273E-3</v>
      </c>
      <c r="G53" s="11">
        <v>2.9146692200000001E-2</v>
      </c>
      <c r="H53" s="11">
        <v>0.37034050689999998</v>
      </c>
      <c r="I53" s="11">
        <v>0.31939047450000002</v>
      </c>
      <c r="J53" s="11">
        <f>SUM(E53*1/3,F53*1/3,H53*1/3)</f>
        <v>0.12389426293333332</v>
      </c>
      <c r="K53" s="11">
        <f>SUM(G53*1/2,I53*1/2)</f>
        <v>0.17426858335000001</v>
      </c>
      <c r="L53" s="11">
        <f>SUM(E53*1/5,F53*1/5,G53*1/5,H53*1/5,I53*1/5)</f>
        <v>0.14404399109999999</v>
      </c>
    </row>
    <row r="54" spans="1:12" x14ac:dyDescent="0.2">
      <c r="C54" s="50"/>
    </row>
    <row r="55" spans="1:12" x14ac:dyDescent="0.2">
      <c r="A55" s="1" t="s">
        <v>2</v>
      </c>
      <c r="B55" s="1" t="s">
        <v>5</v>
      </c>
      <c r="C55" s="76" t="s">
        <v>91</v>
      </c>
      <c r="D55" s="76" t="s">
        <v>73</v>
      </c>
      <c r="E55" s="11">
        <v>9.0220517700000002E-2</v>
      </c>
      <c r="F55" s="11">
        <v>1.2655800599999999E-2</v>
      </c>
      <c r="G55" s="11">
        <v>0.24256951099999999</v>
      </c>
      <c r="H55" s="11">
        <v>0.74882737740000005</v>
      </c>
      <c r="I55" s="11">
        <v>0.41265332459999998</v>
      </c>
      <c r="J55" s="11">
        <f>SUM(E55*1/3,F55*1/3,H55*1/3)</f>
        <v>0.28390123190000005</v>
      </c>
      <c r="K55" s="11">
        <f>SUM(G55*1/2,I55*1/2)</f>
        <v>0.32761141779999997</v>
      </c>
      <c r="L55" s="11">
        <f>SUM(E55*1/5,F55*1/5,G55*1/5,H55*1/5,I55*1/5)</f>
        <v>0.30138530626000004</v>
      </c>
    </row>
    <row r="56" spans="1:12" x14ac:dyDescent="0.2">
      <c r="A56" s="1" t="s">
        <v>3</v>
      </c>
      <c r="B56" s="1" t="s">
        <v>6</v>
      </c>
      <c r="C56" s="76"/>
      <c r="D56" s="76"/>
      <c r="E56" s="11">
        <v>1.9558964500000001E-2</v>
      </c>
      <c r="F56" s="11">
        <v>3.7392138000000002E-3</v>
      </c>
      <c r="G56" s="11">
        <v>0.42703739210000002</v>
      </c>
      <c r="H56" s="11">
        <v>0.54984708800000004</v>
      </c>
      <c r="I56" s="11">
        <v>0.54163438399999997</v>
      </c>
      <c r="J56" s="11">
        <f>SUM(E56*1/3,F56*1/3,H56*1/3)</f>
        <v>0.1910484221</v>
      </c>
      <c r="K56" s="11">
        <f>SUM(G56*1/2,I56*1/2)</f>
        <v>0.48433588805</v>
      </c>
      <c r="L56" s="11">
        <f>SUM(E56*1/5,F56*1/5,G56*1/5,H56*1/5,I56*1/5)</f>
        <v>0.30836340847999999</v>
      </c>
    </row>
    <row r="57" spans="1:12" x14ac:dyDescent="0.2">
      <c r="A57" s="1" t="s">
        <v>4</v>
      </c>
      <c r="B57" s="1" t="s">
        <v>7</v>
      </c>
      <c r="C57" s="76"/>
      <c r="D57" s="76"/>
      <c r="E57" s="11">
        <v>0</v>
      </c>
      <c r="F57" s="11">
        <v>2.8763183999999998E-3</v>
      </c>
      <c r="G57" s="54">
        <v>0.81802492810000005</v>
      </c>
      <c r="H57" s="11">
        <v>0.52913612850000002</v>
      </c>
      <c r="I57" s="11">
        <v>0.49455716719999998</v>
      </c>
      <c r="J57" s="11">
        <f>SUM(E57*1/3,F57*1/3,H57*1/3)</f>
        <v>0.17733748230000002</v>
      </c>
      <c r="K57" s="11">
        <f>SUM(G57*1/2,I57*1/2)</f>
        <v>0.65629104765000001</v>
      </c>
      <c r="L57" s="11">
        <f>SUM(E57*1/5,F57*1/5,G57*1/5,H57*1/5,I57*1/5)</f>
        <v>0.36891890843999997</v>
      </c>
    </row>
    <row r="59" spans="1:12" x14ac:dyDescent="0.2">
      <c r="A59" s="1" t="s">
        <v>2</v>
      </c>
      <c r="B59" s="1" t="s">
        <v>5</v>
      </c>
      <c r="C59" s="76" t="s">
        <v>92</v>
      </c>
      <c r="D59" s="76" t="s">
        <v>75</v>
      </c>
      <c r="E59" s="11">
        <v>2.47363375E-2</v>
      </c>
      <c r="F59" s="11">
        <v>4.3144773999999999E-3</v>
      </c>
      <c r="G59" s="11">
        <v>0.60268456380000002</v>
      </c>
      <c r="H59" s="11">
        <v>0.72139929479999998</v>
      </c>
      <c r="I59" s="11">
        <v>0.61438299269999996</v>
      </c>
      <c r="J59" s="11">
        <f>SUM(E59*1/3,F59*1/3,H59*1/3)</f>
        <v>0.25015003656666668</v>
      </c>
      <c r="K59" s="11">
        <f>SUM(G59*1/2,I59*1/2)</f>
        <v>0.60853377824999999</v>
      </c>
      <c r="L59" s="11">
        <f>SUM(E59*1/5,F59*1/5,G59*1/5,H59*1/5,I59*1/5)</f>
        <v>0.39350353323999998</v>
      </c>
    </row>
    <row r="60" spans="1:12" x14ac:dyDescent="0.2">
      <c r="A60" s="1" t="s">
        <v>3</v>
      </c>
      <c r="B60" s="1" t="s">
        <v>6</v>
      </c>
      <c r="C60" s="76"/>
      <c r="D60" s="76"/>
      <c r="E60" s="11">
        <v>4.4103546999999998E-3</v>
      </c>
      <c r="F60" s="11">
        <v>1.1505274000000001E-3</v>
      </c>
      <c r="G60" s="11">
        <v>0.34458293379999999</v>
      </c>
      <c r="H60" s="11">
        <v>0.49885476839999998</v>
      </c>
      <c r="I60" s="11">
        <v>0.50106482159999999</v>
      </c>
      <c r="J60" s="11">
        <f>SUM(E60*1/3,F60*1/3,H60*1/3)</f>
        <v>0.16813855016666665</v>
      </c>
      <c r="K60" s="11">
        <f>SUM(G60*1/2,I60*1/2)</f>
        <v>0.42282387769999996</v>
      </c>
      <c r="L60" s="11">
        <f>SUM(E60*1/5,F60*1/5,G60*1/5,H60*1/5,I60*1/5)</f>
        <v>0.27001268117999999</v>
      </c>
    </row>
    <row r="61" spans="1:12" x14ac:dyDescent="0.2">
      <c r="A61" s="1" t="s">
        <v>4</v>
      </c>
      <c r="B61" s="1" t="s">
        <v>7</v>
      </c>
      <c r="C61" s="76"/>
      <c r="D61" s="76"/>
      <c r="E61" s="11">
        <v>2.8763183000000002E-3</v>
      </c>
      <c r="F61" s="11">
        <v>2.0134228999999998E-3</v>
      </c>
      <c r="G61" s="11">
        <v>0.51831255990000002</v>
      </c>
      <c r="H61" s="11">
        <v>0.62305881009999997</v>
      </c>
      <c r="I61" s="11">
        <v>0.5466724329</v>
      </c>
      <c r="J61" s="11">
        <f>SUM(E61*1/3,F61*1/3,H61*1/3)</f>
        <v>0.20931618376666664</v>
      </c>
      <c r="K61" s="11">
        <f>SUM(G61*1/2,I61*1/2)</f>
        <v>0.53249249639999996</v>
      </c>
      <c r="L61" s="11">
        <f>SUM(E61*1/5,F61*1/5,G61*1/5,H61*1/5,I61*1/5)</f>
        <v>0.33858670881999997</v>
      </c>
    </row>
    <row r="63" spans="1:12" x14ac:dyDescent="0.2">
      <c r="A63" s="1" t="s">
        <v>2</v>
      </c>
      <c r="B63" s="1" t="s">
        <v>5</v>
      </c>
      <c r="C63" s="76" t="s">
        <v>93</v>
      </c>
      <c r="D63" s="76" t="s">
        <v>76</v>
      </c>
      <c r="E63" s="11">
        <v>5.1006711400000002E-2</v>
      </c>
      <c r="F63" s="11">
        <v>1.75455417E-2</v>
      </c>
      <c r="G63" s="11">
        <v>0.14726749759999999</v>
      </c>
      <c r="H63" s="11">
        <v>0.56786657309999999</v>
      </c>
      <c r="I63" s="11">
        <v>0.33699644699999998</v>
      </c>
      <c r="J63" s="11">
        <f>SUM(E63*1/3,F63*1/3,H63*1/3)</f>
        <v>0.21213960873333335</v>
      </c>
      <c r="K63" s="11">
        <f>SUM(G63*1/2,I63*1/2)</f>
        <v>0.2421319723</v>
      </c>
      <c r="L63" s="11">
        <f>SUM(E63*1/5,F63*1/5,G63*1/5,H63*1/5,I63*1/5)</f>
        <v>0.22413655416</v>
      </c>
    </row>
    <row r="64" spans="1:12" x14ac:dyDescent="0.2">
      <c r="A64" s="1" t="s">
        <v>3</v>
      </c>
      <c r="B64" s="1" t="s">
        <v>6</v>
      </c>
      <c r="C64" s="76"/>
      <c r="D64" s="76"/>
      <c r="E64" s="11">
        <v>8.6289548999999993E-3</v>
      </c>
      <c r="F64" s="11">
        <v>2.3010547000000001E-3</v>
      </c>
      <c r="G64" s="11">
        <v>0.37871524449999999</v>
      </c>
      <c r="H64" s="11">
        <v>0.5041079812</v>
      </c>
      <c r="I64" s="11">
        <v>0.48737746469999998</v>
      </c>
      <c r="J64" s="11">
        <f>SUM(E64*1/3,F64*1/3,H64*1/3)</f>
        <v>0.17167933026666668</v>
      </c>
      <c r="K64" s="11">
        <f>SUM(G64*1/2,I64*1/2)</f>
        <v>0.43304635459999996</v>
      </c>
      <c r="L64" s="11">
        <f>SUM(E64*1/5,F64*1/5,G64*1/5,H64*1/5,I64*1/5)</f>
        <v>0.27622614000000001</v>
      </c>
    </row>
    <row r="65" spans="1:14" x14ac:dyDescent="0.2">
      <c r="A65" s="1" t="s">
        <v>4</v>
      </c>
      <c r="B65" s="1" t="s">
        <v>7</v>
      </c>
      <c r="C65" s="76"/>
      <c r="D65" s="76"/>
      <c r="E65" s="11">
        <v>1.9175455000000001E-3</v>
      </c>
      <c r="F65" s="11">
        <v>4.9856184E-3</v>
      </c>
      <c r="G65" s="11">
        <v>0.2151486098</v>
      </c>
      <c r="H65" s="11">
        <v>0.57976032990000004</v>
      </c>
      <c r="I65" s="11">
        <v>0.46813920380000001</v>
      </c>
      <c r="J65" s="11">
        <f>SUM(E65*1/3,F65*1/3,H65*1/3)</f>
        <v>0.19555449793333335</v>
      </c>
      <c r="K65" s="11">
        <f>SUM(G65*1/2,I65*1/2)</f>
        <v>0.34164390680000001</v>
      </c>
      <c r="L65" s="11">
        <f>SUM(E65*1/5,F65*1/5,G65*1/5,H65*1/5,I65*1/5)</f>
        <v>0.25399026148000003</v>
      </c>
    </row>
    <row r="68" spans="1:14" s="14" customFormat="1" x14ac:dyDescent="0.2">
      <c r="A68" s="77" t="s">
        <v>59</v>
      </c>
      <c r="B68" s="77"/>
      <c r="C68" s="77"/>
      <c r="D68" s="77"/>
      <c r="E68" s="16">
        <f t="shared" ref="E68:L68" si="2">MAX(E38:E66)</f>
        <v>9.0220517700000002E-2</v>
      </c>
      <c r="F68" s="16">
        <f t="shared" si="2"/>
        <v>1.75455417E-2</v>
      </c>
      <c r="G68" s="16">
        <f t="shared" si="2"/>
        <v>0.81802492810000005</v>
      </c>
      <c r="H68" s="16">
        <f t="shared" si="2"/>
        <v>0.85501700719999996</v>
      </c>
      <c r="I68" s="16">
        <f t="shared" si="2"/>
        <v>0.64805542540000005</v>
      </c>
      <c r="J68" s="16">
        <f>MAX(J38:J66)</f>
        <v>0.29484906953333329</v>
      </c>
      <c r="K68" s="16">
        <f t="shared" si="2"/>
        <v>0.67800661970000009</v>
      </c>
      <c r="L68" s="16">
        <f t="shared" si="2"/>
        <v>0.41684293866000005</v>
      </c>
      <c r="M68" s="16"/>
      <c r="N68" s="17"/>
    </row>
    <row r="69" spans="1:14" s="52" customFormat="1" x14ac:dyDescent="0.2">
      <c r="A69" s="82" t="s">
        <v>60</v>
      </c>
      <c r="B69" s="82"/>
      <c r="C69" s="82"/>
      <c r="D69" s="82"/>
      <c r="E69" s="29">
        <f t="shared" ref="E69:L69" si="3">AVERAGE(E39:E66)</f>
        <v>1.7271606619047621E-2</v>
      </c>
      <c r="F69" s="29">
        <f t="shared" si="3"/>
        <v>3.9948865666666663E-3</v>
      </c>
      <c r="G69" s="29">
        <f t="shared" si="3"/>
        <v>0.41313975254285717</v>
      </c>
      <c r="H69" s="29">
        <f t="shared" si="3"/>
        <v>0.5907288973095236</v>
      </c>
      <c r="I69" s="29">
        <f t="shared" si="3"/>
        <v>0.47859011843809524</v>
      </c>
      <c r="J69" s="29">
        <f t="shared" si="3"/>
        <v>0.20399846349841269</v>
      </c>
      <c r="K69" s="29">
        <f t="shared" si="3"/>
        <v>0.44586493549047612</v>
      </c>
      <c r="L69" s="29">
        <f t="shared" si="3"/>
        <v>0.30074505229523812</v>
      </c>
      <c r="M69" s="29"/>
      <c r="N69" s="58"/>
    </row>
    <row r="71" spans="1:14" s="47" customFormat="1" x14ac:dyDescent="0.2">
      <c r="A71" s="79" t="s">
        <v>94</v>
      </c>
      <c r="B71" s="79"/>
      <c r="C71" s="79"/>
      <c r="D71" s="79"/>
      <c r="E71" s="79"/>
      <c r="F71" s="79"/>
      <c r="G71" s="79"/>
      <c r="H71" s="79"/>
      <c r="I71" s="79"/>
      <c r="J71" s="49"/>
      <c r="K71" s="56"/>
      <c r="L71" s="56"/>
    </row>
    <row r="72" spans="1:14" s="48" customFormat="1" x14ac:dyDescent="0.2">
      <c r="A72" s="8"/>
      <c r="B72" s="8"/>
      <c r="C72" s="8"/>
      <c r="D72" s="51"/>
      <c r="E72" s="54"/>
      <c r="F72" s="54"/>
      <c r="G72" s="54"/>
      <c r="H72" s="54"/>
      <c r="I72" s="54"/>
      <c r="J72" s="57"/>
      <c r="K72" s="57"/>
      <c r="L72" s="57"/>
    </row>
    <row r="73" spans="1:14" x14ac:dyDescent="0.2">
      <c r="A73" s="1" t="s">
        <v>2</v>
      </c>
      <c r="B73" s="1" t="s">
        <v>5</v>
      </c>
      <c r="C73" s="76" t="s">
        <v>95</v>
      </c>
      <c r="D73" s="76" t="s">
        <v>68</v>
      </c>
      <c r="E73" s="11">
        <v>3.1423644399999999E-2</v>
      </c>
      <c r="F73" s="11">
        <v>4.5027783000000004E-3</v>
      </c>
      <c r="G73" s="11">
        <v>0.31423644379999999</v>
      </c>
      <c r="H73" s="54">
        <v>0.87912838900000001</v>
      </c>
      <c r="I73" s="11">
        <v>0.37861748220000002</v>
      </c>
      <c r="J73" s="54">
        <f>SUM(E73*1/3,F73*1/3,H73*1/3)</f>
        <v>0.30501827056666669</v>
      </c>
      <c r="K73" s="11">
        <f>SUM(G73*1/2,I73*1/2)</f>
        <v>0.34642696299999998</v>
      </c>
      <c r="L73" s="11">
        <f>SUM(E73*1/5,F73*1/5,G73*1/5,H73*1/5,I73*1/5)</f>
        <v>0.32158174754000002</v>
      </c>
    </row>
    <row r="74" spans="1:14" x14ac:dyDescent="0.2">
      <c r="A74" s="1" t="s">
        <v>3</v>
      </c>
      <c r="B74" s="1" t="s">
        <v>6</v>
      </c>
      <c r="C74" s="76"/>
      <c r="D74" s="76"/>
      <c r="E74" s="11">
        <v>8.8139489999999997E-3</v>
      </c>
      <c r="F74" s="11">
        <v>2.3950948999999998E-3</v>
      </c>
      <c r="G74" s="11">
        <v>0.36865299870000001</v>
      </c>
      <c r="H74" s="11">
        <v>0.73505614159999999</v>
      </c>
      <c r="I74" s="11">
        <v>0.438803202</v>
      </c>
      <c r="J74" s="11">
        <f>SUM(E74*1/3,F74*1/3,H74*1/3)</f>
        <v>0.24875506183333332</v>
      </c>
      <c r="K74" s="11">
        <f>SUM(G74*1/2,I74*1/2)</f>
        <v>0.40372810035000001</v>
      </c>
      <c r="L74" s="11">
        <f>SUM(E74*1/5,F74*1/5,G74*1/5,H74*1/5,I74*1/5)</f>
        <v>0.31074427723999998</v>
      </c>
    </row>
    <row r="75" spans="1:14" x14ac:dyDescent="0.2">
      <c r="A75" s="1" t="s">
        <v>4</v>
      </c>
      <c r="B75" s="1" t="s">
        <v>7</v>
      </c>
      <c r="C75" s="76"/>
      <c r="D75" s="76"/>
      <c r="E75" s="11">
        <v>1.9160760000000001E-4</v>
      </c>
      <c r="F75" s="11">
        <v>1.9160759E-3</v>
      </c>
      <c r="G75" s="11">
        <v>4.4261352699999999E-2</v>
      </c>
      <c r="H75" s="11">
        <v>0.4812790361</v>
      </c>
      <c r="I75" s="11">
        <v>0.47962761110000002</v>
      </c>
      <c r="J75" s="11">
        <f>SUM(E75*1/3,F75*1/3,H75*1/3)</f>
        <v>0.16112890653333334</v>
      </c>
      <c r="K75" s="11">
        <f>SUM(G75*1/2,I75*1/2)</f>
        <v>0.26194448190000003</v>
      </c>
      <c r="L75" s="11">
        <f>SUM(E75*1/5,F75*1/5,G75*1/5,H75*1/5,I75*1/5)</f>
        <v>0.20145513668000001</v>
      </c>
    </row>
    <row r="77" spans="1:14" x14ac:dyDescent="0.2">
      <c r="A77" s="1" t="s">
        <v>2</v>
      </c>
      <c r="B77" s="1" t="s">
        <v>5</v>
      </c>
      <c r="C77" s="76" t="s">
        <v>96</v>
      </c>
      <c r="D77" s="76" t="s">
        <v>70</v>
      </c>
      <c r="E77" s="11">
        <v>2.7399884999999999E-2</v>
      </c>
      <c r="F77" s="11">
        <v>2.0693619399999998E-2</v>
      </c>
      <c r="G77" s="11">
        <v>0.62962253310000005</v>
      </c>
      <c r="H77" s="11">
        <v>0.85414416559999995</v>
      </c>
      <c r="I77" s="11">
        <v>0.45041272119999998</v>
      </c>
      <c r="J77" s="11">
        <f>SUM(E77*1/3,F77*1/3,H77*1/3)</f>
        <v>0.30074588999999996</v>
      </c>
      <c r="K77" s="11">
        <f>SUM(G77*1/2,I77*1/2)</f>
        <v>0.54001762715000001</v>
      </c>
      <c r="L77" s="11">
        <f>SUM(E77*1/5,F77*1/5,G77*1/5,H77*1/5,I77*1/5)</f>
        <v>0.39645458486000001</v>
      </c>
    </row>
    <row r="78" spans="1:14" x14ac:dyDescent="0.2">
      <c r="A78" s="1" t="s">
        <v>3</v>
      </c>
      <c r="B78" s="1" t="s">
        <v>6</v>
      </c>
      <c r="C78" s="76"/>
      <c r="D78" s="76"/>
      <c r="E78" s="11">
        <v>3.4489365999999999E-3</v>
      </c>
      <c r="F78" s="11">
        <v>2.77831E-3</v>
      </c>
      <c r="G78" s="11">
        <v>0.28319601459999999</v>
      </c>
      <c r="H78" s="11">
        <v>0.55856684919999999</v>
      </c>
      <c r="I78" s="11">
        <v>0.48412258870000002</v>
      </c>
      <c r="J78" s="11">
        <f>SUM(E78*1/3,F78*1/3,H78*1/3)</f>
        <v>0.1882646986</v>
      </c>
      <c r="K78" s="11">
        <f>SUM(G78*1/2,I78*1/2)</f>
        <v>0.38365930165000001</v>
      </c>
      <c r="L78" s="11">
        <f>SUM(E78*1/5,F78*1/5,G78*1/5,H78*1/5,I78*1/5)</f>
        <v>0.26642253981999997</v>
      </c>
    </row>
    <row r="79" spans="1:14" x14ac:dyDescent="0.2">
      <c r="A79" s="1" t="s">
        <v>4</v>
      </c>
      <c r="B79" s="1" t="s">
        <v>7</v>
      </c>
      <c r="C79" s="76"/>
      <c r="D79" s="76"/>
      <c r="E79" s="62">
        <v>4.7901900000000002E-4</v>
      </c>
      <c r="F79" s="11">
        <v>9.5803800000000003E-4</v>
      </c>
      <c r="G79" s="11">
        <v>0.1588426902</v>
      </c>
      <c r="H79" s="11">
        <v>0.51150557910000005</v>
      </c>
      <c r="I79" s="11">
        <v>0.47634846359999999</v>
      </c>
      <c r="J79" s="11">
        <f>SUM(E79*1/3,F79*1/3,H79*1/3)</f>
        <v>0.17098087870000001</v>
      </c>
      <c r="K79" s="11">
        <f>SUM(G79*1/2,I79*1/2)</f>
        <v>0.31759557690000001</v>
      </c>
      <c r="L79" s="11">
        <f>SUM(E79*1/5,F79*1/5,G79*1/5,H79*1/5,I79*1/5)</f>
        <v>0.22962675798000001</v>
      </c>
    </row>
    <row r="81" spans="1:12" x14ac:dyDescent="0.2">
      <c r="A81" s="1" t="s">
        <v>2</v>
      </c>
      <c r="B81" s="1" t="s">
        <v>5</v>
      </c>
      <c r="C81" s="76" t="s">
        <v>97</v>
      </c>
      <c r="D81" s="76" t="s">
        <v>81</v>
      </c>
      <c r="E81" s="11">
        <v>1.41789615E-2</v>
      </c>
      <c r="F81" s="11">
        <v>3.8321517E-3</v>
      </c>
      <c r="G81" s="11">
        <v>0.2103851313</v>
      </c>
      <c r="H81" s="11">
        <v>0.49344389389999999</v>
      </c>
      <c r="I81" s="11">
        <v>0.4601922155</v>
      </c>
      <c r="J81" s="11">
        <f>SUM(E81*1/3,F81*1/3,H81*1/3)</f>
        <v>0.17048500236666667</v>
      </c>
      <c r="K81" s="11">
        <f>SUM(G81*1/2,I81*1/2)</f>
        <v>0.33528867340000001</v>
      </c>
      <c r="L81" s="11">
        <f>SUM(E81*1/5,F81*1/5,G81*1/5,H81*1/5,I81*1/5)</f>
        <v>0.23640647078000002</v>
      </c>
    </row>
    <row r="82" spans="1:12" x14ac:dyDescent="0.2">
      <c r="A82" s="1" t="s">
        <v>3</v>
      </c>
      <c r="B82" s="1" t="s">
        <v>6</v>
      </c>
      <c r="C82" s="76"/>
      <c r="D82" s="76"/>
      <c r="E82" s="11">
        <v>4.3111707000000003E-3</v>
      </c>
      <c r="F82" s="11">
        <v>2.5867024999999999E-3</v>
      </c>
      <c r="G82" s="11">
        <v>0.31347001340000002</v>
      </c>
      <c r="H82" s="11">
        <v>0.49771053859999997</v>
      </c>
      <c r="I82" s="11">
        <v>0.49578055669999999</v>
      </c>
      <c r="J82" s="11">
        <f>SUM(E82*1/3,F82*1/3,H82*1/3)</f>
        <v>0.16820280393333331</v>
      </c>
      <c r="K82" s="11">
        <f>SUM(G82*1/2,I82*1/2)</f>
        <v>0.40462528505000001</v>
      </c>
      <c r="L82" s="11">
        <f>SUM(E82*1/5,F82*1/5,G82*1/5,H82*1/5,I82*1/5)</f>
        <v>0.26277179638000003</v>
      </c>
    </row>
    <row r="83" spans="1:12" x14ac:dyDescent="0.2">
      <c r="A83" s="1" t="s">
        <v>4</v>
      </c>
      <c r="B83" s="1" t="s">
        <v>7</v>
      </c>
      <c r="C83" s="76"/>
      <c r="D83" s="76"/>
      <c r="E83" s="11">
        <v>2.1076835000000001E-3</v>
      </c>
      <c r="F83" s="11">
        <v>2.4908986999999999E-3</v>
      </c>
      <c r="G83" s="11">
        <v>0.46062464069999998</v>
      </c>
      <c r="H83" s="11">
        <v>0.47368173790000001</v>
      </c>
      <c r="I83" s="11">
        <v>0.48311123919999999</v>
      </c>
      <c r="J83" s="11">
        <f>SUM(E83*1/3,F83*1/3,H83*1/3)</f>
        <v>0.15942677336666666</v>
      </c>
      <c r="K83" s="11">
        <f>SUM(G83*1/2,I83*1/2)</f>
        <v>0.47186793994999998</v>
      </c>
      <c r="L83" s="11">
        <f>SUM(E83*1/5,F83*1/5,G83*1/5,H83*1/5,I83*1/5)</f>
        <v>0.28440324</v>
      </c>
    </row>
    <row r="85" spans="1:12" s="42" customFormat="1" x14ac:dyDescent="0.2">
      <c r="A85" s="42" t="s">
        <v>2</v>
      </c>
      <c r="B85" s="42" t="s">
        <v>5</v>
      </c>
      <c r="C85" s="76" t="s">
        <v>98</v>
      </c>
      <c r="D85" s="76" t="s">
        <v>79</v>
      </c>
      <c r="E85" s="67">
        <v>1.9543973900000001E-2</v>
      </c>
      <c r="F85" s="67">
        <v>8.0475187000000007E-3</v>
      </c>
      <c r="G85" s="67">
        <v>0.7549338954</v>
      </c>
      <c r="H85" s="67">
        <v>0.80678453409999995</v>
      </c>
      <c r="I85" s="40">
        <v>0.68024081950000004</v>
      </c>
      <c r="J85" s="67">
        <f>SUM(E85*1/3,F85*1/3,H85*1/3)</f>
        <v>0.27812534223333329</v>
      </c>
      <c r="K85" s="67">
        <f>SUM(G85*1/2,I85*1/2)</f>
        <v>0.71758735745000002</v>
      </c>
      <c r="L85" s="67">
        <f>SUM(E85*1/5,F85*1/5,G85*1/5,H85*1/5,I85*1/5)</f>
        <v>0.45391014831999998</v>
      </c>
    </row>
    <row r="86" spans="1:12" x14ac:dyDescent="0.2">
      <c r="A86" s="1" t="s">
        <v>3</v>
      </c>
      <c r="B86" s="1" t="s">
        <v>6</v>
      </c>
      <c r="C86" s="76"/>
      <c r="D86" s="76"/>
      <c r="E86" s="11">
        <v>8.6223409999999995E-4</v>
      </c>
      <c r="F86" s="11">
        <v>4.8859934999999997E-3</v>
      </c>
      <c r="G86" s="11">
        <v>0.42057865490000002</v>
      </c>
      <c r="H86" s="11">
        <v>0.55166023060000002</v>
      </c>
      <c r="I86" s="11">
        <v>0.49520081519999998</v>
      </c>
      <c r="J86" s="11">
        <f>SUM(E86*1/3,F86*1/3,H86*1/3)</f>
        <v>0.18580281940000001</v>
      </c>
      <c r="K86" s="11">
        <f>SUM(G86*1/2,I86*1/2)</f>
        <v>0.45788973504999997</v>
      </c>
      <c r="L86" s="54">
        <f>SUM(E86*1/5,F86*1/5,G86*1/5,H86*1/5,I86*1/5)</f>
        <v>0.29463758565999998</v>
      </c>
    </row>
    <row r="87" spans="1:12" x14ac:dyDescent="0.2">
      <c r="A87" s="1" t="s">
        <v>4</v>
      </c>
      <c r="B87" s="1" t="s">
        <v>7</v>
      </c>
      <c r="C87" s="76"/>
      <c r="D87" s="76"/>
      <c r="E87" s="11">
        <v>3.8321520000000002E-4</v>
      </c>
      <c r="F87" s="11">
        <v>2.1076835000000001E-3</v>
      </c>
      <c r="G87" s="54">
        <v>0.78884843839999996</v>
      </c>
      <c r="H87" s="11">
        <v>0.62326305770000001</v>
      </c>
      <c r="I87" s="11">
        <v>0.64865882360000005</v>
      </c>
      <c r="J87" s="11">
        <f>SUM(E87*1/3,F87*1/3,H87*1/3)</f>
        <v>0.20858465213333333</v>
      </c>
      <c r="K87" s="54">
        <f>SUM(G87*1/2,I87*1/2)</f>
        <v>0.718753631</v>
      </c>
      <c r="L87" s="11">
        <f>SUM(E87*1/5,F87*1/5,G87*1/5,H87*1/5,I87*1/5)</f>
        <v>0.41265224367999997</v>
      </c>
    </row>
    <row r="88" spans="1:12" x14ac:dyDescent="0.2">
      <c r="C88" s="50"/>
    </row>
    <row r="89" spans="1:12" x14ac:dyDescent="0.2">
      <c r="A89" s="1" t="s">
        <v>2</v>
      </c>
      <c r="B89" s="1" t="s">
        <v>5</v>
      </c>
      <c r="C89" s="76" t="s">
        <v>99</v>
      </c>
      <c r="D89" s="76" t="s">
        <v>73</v>
      </c>
      <c r="E89" s="11">
        <v>4.4165548999999998E-2</v>
      </c>
      <c r="F89" s="11">
        <v>2.8166315300000001E-2</v>
      </c>
      <c r="G89" s="11">
        <v>0.21670818159999999</v>
      </c>
      <c r="H89" s="11">
        <v>0.73706262420000002</v>
      </c>
      <c r="I89" s="11">
        <v>0.3688066217</v>
      </c>
      <c r="J89" s="11">
        <f>SUM(E89*1/3,F89*1/3,H89*1/3)</f>
        <v>0.26979816283333335</v>
      </c>
      <c r="K89" s="11">
        <f>SUM(G89*1/2,I89*1/2)</f>
        <v>0.29275740164999997</v>
      </c>
      <c r="L89" s="11">
        <f>SUM(E89*1/5,F89*1/5,G89*1/5,H89*1/5,I89*1/5)</f>
        <v>0.27898185836</v>
      </c>
    </row>
    <row r="90" spans="1:12" x14ac:dyDescent="0.2">
      <c r="A90" s="1" t="s">
        <v>3</v>
      </c>
      <c r="B90" s="1" t="s">
        <v>6</v>
      </c>
      <c r="C90" s="76"/>
      <c r="D90" s="76"/>
      <c r="E90" s="11">
        <v>1.59034298E-2</v>
      </c>
      <c r="F90" s="11">
        <v>2.0118797000000001E-3</v>
      </c>
      <c r="G90" s="11">
        <v>0.45717570419999998</v>
      </c>
      <c r="H90" s="11">
        <v>0.59033409329999997</v>
      </c>
      <c r="I90" s="11">
        <v>0.51348317779999997</v>
      </c>
      <c r="J90" s="11">
        <f>SUM(E90*1/3,F90*1/3,H90*1/3)</f>
        <v>0.20274980093333334</v>
      </c>
      <c r="K90" s="11">
        <f>SUM(G90*1/2,I90*1/2)</f>
        <v>0.48532944099999997</v>
      </c>
      <c r="L90" s="11">
        <f>SUM(E90*1/5,F90*1/5,G90*1/5,H90*1/5,I90*1/5)</f>
        <v>0.31578165695999999</v>
      </c>
    </row>
    <row r="91" spans="1:12" x14ac:dyDescent="0.2">
      <c r="A91" s="1" t="s">
        <v>4</v>
      </c>
      <c r="B91" s="1" t="s">
        <v>7</v>
      </c>
      <c r="C91" s="76"/>
      <c r="D91" s="76"/>
      <c r="E91" s="11">
        <v>0</v>
      </c>
      <c r="F91" s="11">
        <v>3.2573290000000002E-3</v>
      </c>
      <c r="G91" s="11">
        <v>0.1509867791</v>
      </c>
      <c r="H91" s="11">
        <v>0.50179758129999996</v>
      </c>
      <c r="I91" s="11">
        <v>0.47369240169999999</v>
      </c>
      <c r="J91" s="11">
        <f>SUM(E91*1/3,F91*1/3,H91*1/3)</f>
        <v>0.16835163676666667</v>
      </c>
      <c r="K91" s="11">
        <f>SUM(G91*1/2,I91*1/2)</f>
        <v>0.31233959039999998</v>
      </c>
      <c r="L91" s="11">
        <f>SUM(E91*1/5,F91*1/5,G91*1/5,H91*1/5,I91*1/5)</f>
        <v>0.22594681822000001</v>
      </c>
    </row>
    <row r="93" spans="1:12" x14ac:dyDescent="0.2">
      <c r="A93" s="1" t="s">
        <v>2</v>
      </c>
      <c r="B93" s="1" t="s">
        <v>5</v>
      </c>
      <c r="C93" s="76" t="s">
        <v>100</v>
      </c>
      <c r="D93" s="76" t="s">
        <v>75</v>
      </c>
      <c r="E93" s="11">
        <v>2.6537650900000001E-2</v>
      </c>
      <c r="F93" s="11">
        <v>6.2272465999999999E-3</v>
      </c>
      <c r="G93" s="11">
        <v>0.30906303889999998</v>
      </c>
      <c r="H93" s="11">
        <v>0.65261878269999996</v>
      </c>
      <c r="I93" s="11">
        <v>0.4517924425</v>
      </c>
      <c r="J93" s="11">
        <f>SUM(E93*1/3,F93*1/3,H93*1/3)</f>
        <v>0.22846122673333333</v>
      </c>
      <c r="K93" s="11">
        <f>SUM(G93*1/2,I93*1/2)</f>
        <v>0.38042774069999996</v>
      </c>
      <c r="L93" s="11">
        <f>SUM(E93*1/5,F93*1/5,G93*1/5,H93*1/5,I93*1/5)</f>
        <v>0.28924783231999995</v>
      </c>
    </row>
    <row r="94" spans="1:12" x14ac:dyDescent="0.2">
      <c r="A94" s="1" t="s">
        <v>3</v>
      </c>
      <c r="B94" s="1" t="s">
        <v>6</v>
      </c>
      <c r="C94" s="76"/>
      <c r="D94" s="76"/>
      <c r="E94" s="11">
        <v>9.4845755999999996E-3</v>
      </c>
      <c r="F94" s="11">
        <v>1.2933512100000001E-2</v>
      </c>
      <c r="G94" s="11">
        <v>0.35543207510000002</v>
      </c>
      <c r="H94" s="11">
        <v>0.51356868389999999</v>
      </c>
      <c r="I94" s="11">
        <v>0.4931959434</v>
      </c>
      <c r="J94" s="11">
        <f>SUM(E94*1/3,F94*1/3,H94*1/3)</f>
        <v>0.17866225719999998</v>
      </c>
      <c r="K94" s="11">
        <f>SUM(G94*1/2,I94*1/2)</f>
        <v>0.42431400925000001</v>
      </c>
      <c r="L94" s="11">
        <f>SUM(E94*1/5,F94*1/5,G94*1/5,H94*1/5,I94*1/5)</f>
        <v>0.27692295802</v>
      </c>
    </row>
    <row r="95" spans="1:12" x14ac:dyDescent="0.2">
      <c r="A95" s="1" t="s">
        <v>4</v>
      </c>
      <c r="B95" s="1" t="s">
        <v>7</v>
      </c>
      <c r="C95" s="76"/>
      <c r="D95" s="76"/>
      <c r="E95" s="11">
        <v>1.9160760000000001E-4</v>
      </c>
      <c r="F95" s="11">
        <v>2.5867024999999999E-3</v>
      </c>
      <c r="G95" s="11">
        <v>0.67005173399999995</v>
      </c>
      <c r="H95" s="11">
        <v>0.52593068870000004</v>
      </c>
      <c r="I95" s="11">
        <v>0.4729815544</v>
      </c>
      <c r="J95" s="11">
        <f>SUM(E95*1/3,F95*1/3,H95*1/3)</f>
        <v>0.17623633293333332</v>
      </c>
      <c r="K95" s="11">
        <f>SUM(G95*1/2,I95*1/2)</f>
        <v>0.57151664419999992</v>
      </c>
      <c r="L95" s="11">
        <f>SUM(E95*1/5,F95*1/5,G95*1/5,H95*1/5,I95*1/5)</f>
        <v>0.33434845743999997</v>
      </c>
    </row>
    <row r="97" spans="1:14" x14ac:dyDescent="0.2">
      <c r="A97" s="1" t="s">
        <v>2</v>
      </c>
      <c r="B97" s="1" t="s">
        <v>5</v>
      </c>
      <c r="C97" s="76" t="s">
        <v>101</v>
      </c>
      <c r="D97" s="76" t="s">
        <v>76</v>
      </c>
      <c r="E97" s="11">
        <v>6.6104618E-3</v>
      </c>
      <c r="F97" s="11">
        <v>3.9279555000000001E-3</v>
      </c>
      <c r="G97" s="11">
        <v>0.18585936</v>
      </c>
      <c r="H97" s="11">
        <v>0.43336886330000002</v>
      </c>
      <c r="I97" s="11">
        <v>0.37657463089999998</v>
      </c>
      <c r="J97" s="11">
        <f>SUM(E97*1/3,F97*1/3,H97*1/3)</f>
        <v>0.14796909353333332</v>
      </c>
      <c r="K97" s="11">
        <f>SUM(G97*1/2,I97*1/2)</f>
        <v>0.28121699545000001</v>
      </c>
      <c r="L97" s="11">
        <f>SUM(E97*1/5,F97*1/5,G97*1/5,H97*1/5,I97*1/5)</f>
        <v>0.2012682543</v>
      </c>
    </row>
    <row r="98" spans="1:14" x14ac:dyDescent="0.2">
      <c r="A98" s="1" t="s">
        <v>3</v>
      </c>
      <c r="B98" s="1" t="s">
        <v>6</v>
      </c>
      <c r="C98" s="76"/>
      <c r="D98" s="76"/>
      <c r="E98" s="11">
        <v>8.9097528000000002E-3</v>
      </c>
      <c r="F98" s="11">
        <v>3.3531327999999998E-3</v>
      </c>
      <c r="G98" s="11">
        <v>0.36022226480000002</v>
      </c>
      <c r="H98" s="11">
        <v>0.49774400880000003</v>
      </c>
      <c r="I98" s="11">
        <v>0.48779777699999999</v>
      </c>
      <c r="J98" s="11">
        <f>SUM(E98*1/3,F98*1/3,H98*1/3)</f>
        <v>0.17000229813333334</v>
      </c>
      <c r="K98" s="11">
        <f>SUM(G98*1/2,I98*1/2)</f>
        <v>0.42401002090000001</v>
      </c>
      <c r="L98" s="11">
        <f>SUM(E98*1/5,F98*1/5,G98*1/5,H98*1/5,I98*1/5)</f>
        <v>0.27160538724</v>
      </c>
    </row>
    <row r="99" spans="1:14" x14ac:dyDescent="0.2">
      <c r="A99" s="1" t="s">
        <v>4</v>
      </c>
      <c r="B99" s="1" t="s">
        <v>7</v>
      </c>
      <c r="C99" s="76"/>
      <c r="D99" s="76"/>
      <c r="E99" s="11">
        <v>1.6286645000000001E-3</v>
      </c>
      <c r="F99" s="11">
        <v>8.9097528999999998E-3</v>
      </c>
      <c r="G99" s="11">
        <v>0.70549913779999995</v>
      </c>
      <c r="H99" s="11">
        <v>0.56517988880000003</v>
      </c>
      <c r="I99" s="11">
        <v>0.50091959919999995</v>
      </c>
      <c r="J99" s="11">
        <f>SUM(E99*1/3,F99*1/3,H99*1/3)</f>
        <v>0.19190610206666667</v>
      </c>
      <c r="K99" s="11">
        <f>SUM(G99*1/2,I99*1/2)</f>
        <v>0.60320936849999995</v>
      </c>
      <c r="L99" s="11">
        <f>SUM(E99*1/5,F99*1/5,G99*1/5,H99*1/5,I99*1/5)</f>
        <v>0.35642740864</v>
      </c>
    </row>
    <row r="102" spans="1:14" s="14" customFormat="1" x14ac:dyDescent="0.2">
      <c r="A102" s="77" t="s">
        <v>59</v>
      </c>
      <c r="B102" s="77"/>
      <c r="C102" s="77"/>
      <c r="D102" s="77"/>
      <c r="E102" s="16">
        <f t="shared" ref="E102:L102" si="4">MAX(E72:E100)</f>
        <v>4.4165548999999998E-2</v>
      </c>
      <c r="F102" s="16">
        <f t="shared" si="4"/>
        <v>2.8166315300000001E-2</v>
      </c>
      <c r="G102" s="16">
        <f t="shared" si="4"/>
        <v>0.78884843839999996</v>
      </c>
      <c r="H102" s="16">
        <f t="shared" si="4"/>
        <v>0.87912838900000001</v>
      </c>
      <c r="I102" s="16">
        <f t="shared" si="4"/>
        <v>0.68024081950000004</v>
      </c>
      <c r="J102" s="16">
        <f t="shared" si="4"/>
        <v>0.30501827056666669</v>
      </c>
      <c r="K102" s="16">
        <f t="shared" si="4"/>
        <v>0.718753631</v>
      </c>
      <c r="L102" s="16">
        <f t="shared" si="4"/>
        <v>0.45391014831999998</v>
      </c>
      <c r="M102" s="16"/>
      <c r="N102" s="17"/>
    </row>
    <row r="103" spans="1:14" s="52" customFormat="1" x14ac:dyDescent="0.2">
      <c r="A103" s="82" t="s">
        <v>60</v>
      </c>
      <c r="B103" s="82"/>
      <c r="C103" s="82"/>
      <c r="D103" s="82"/>
      <c r="E103" s="29">
        <f t="shared" ref="E103:L103" si="5">AVERAGE(E73:E100)</f>
        <v>1.0789332023809524E-2</v>
      </c>
      <c r="F103" s="29">
        <f t="shared" si="5"/>
        <v>6.1223186428571424E-3</v>
      </c>
      <c r="G103" s="29">
        <f t="shared" si="5"/>
        <v>0.38850719441428572</v>
      </c>
      <c r="H103" s="29">
        <f t="shared" si="5"/>
        <v>0.59446806516190465</v>
      </c>
      <c r="I103" s="29">
        <f t="shared" si="5"/>
        <v>0.481445747004762</v>
      </c>
      <c r="J103" s="29">
        <f t="shared" si="5"/>
        <v>0.20379323860952378</v>
      </c>
      <c r="K103" s="29">
        <f t="shared" si="5"/>
        <v>0.43497647070952389</v>
      </c>
      <c r="L103" s="29">
        <f t="shared" si="5"/>
        <v>0.29626653144952381</v>
      </c>
      <c r="M103" s="29"/>
      <c r="N103" s="58"/>
    </row>
  </sheetData>
  <mergeCells count="51">
    <mergeCell ref="A103:D103"/>
    <mergeCell ref="C93:C95"/>
    <mergeCell ref="D93:D95"/>
    <mergeCell ref="C97:C99"/>
    <mergeCell ref="D97:D99"/>
    <mergeCell ref="A102:D102"/>
    <mergeCell ref="C81:C83"/>
    <mergeCell ref="D81:D83"/>
    <mergeCell ref="C85:C87"/>
    <mergeCell ref="D85:D87"/>
    <mergeCell ref="C89:C91"/>
    <mergeCell ref="D89:D91"/>
    <mergeCell ref="A69:D69"/>
    <mergeCell ref="A71:I71"/>
    <mergeCell ref="C73:C75"/>
    <mergeCell ref="D73:D75"/>
    <mergeCell ref="C77:C79"/>
    <mergeCell ref="D77:D79"/>
    <mergeCell ref="C59:C61"/>
    <mergeCell ref="D59:D61"/>
    <mergeCell ref="C63:C65"/>
    <mergeCell ref="D63:D65"/>
    <mergeCell ref="A68:D68"/>
    <mergeCell ref="C47:C49"/>
    <mergeCell ref="D47:D49"/>
    <mergeCell ref="C51:C53"/>
    <mergeCell ref="D51:D53"/>
    <mergeCell ref="C55:C57"/>
    <mergeCell ref="D55:D57"/>
    <mergeCell ref="A37:I37"/>
    <mergeCell ref="C39:C41"/>
    <mergeCell ref="D39:D41"/>
    <mergeCell ref="C43:C45"/>
    <mergeCell ref="D43:D45"/>
    <mergeCell ref="A34:D34"/>
    <mergeCell ref="A35:D35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J13"/>
  <sheetViews>
    <sheetView tabSelected="1" topLeftCell="C1" workbookViewId="0">
      <selection activeCell="I16" sqref="I16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31.1640625" style="1" customWidth="1"/>
    <col min="11" max="16384" width="22.6640625" style="1"/>
  </cols>
  <sheetData>
    <row r="1" spans="1:10" s="6" customFormat="1" ht="88" x14ac:dyDescent="0.2">
      <c r="A1" s="6" t="s">
        <v>0</v>
      </c>
      <c r="B1" s="6" t="s">
        <v>1</v>
      </c>
      <c r="C1" s="7" t="s">
        <v>102</v>
      </c>
      <c r="D1" s="6" t="s">
        <v>106</v>
      </c>
      <c r="E1" s="7" t="s">
        <v>55</v>
      </c>
      <c r="F1" s="7" t="s">
        <v>108</v>
      </c>
      <c r="G1" s="12" t="s">
        <v>103</v>
      </c>
      <c r="H1" s="12" t="s">
        <v>104</v>
      </c>
      <c r="I1" s="12" t="s">
        <v>105</v>
      </c>
      <c r="J1" s="7" t="s">
        <v>114</v>
      </c>
    </row>
    <row r="3" spans="1:10" x14ac:dyDescent="0.2">
      <c r="A3" s="1" t="s">
        <v>2</v>
      </c>
      <c r="B3" s="1" t="s">
        <v>5</v>
      </c>
      <c r="C3" s="76" t="s">
        <v>107</v>
      </c>
      <c r="D3" s="76" t="s">
        <v>109</v>
      </c>
      <c r="E3" s="1">
        <v>0.68648130389999995</v>
      </c>
      <c r="F3" s="1">
        <v>0.93000958769999997</v>
      </c>
      <c r="G3" s="11">
        <v>0.76609541449999996</v>
      </c>
      <c r="H3" s="11">
        <v>0.3481675393</v>
      </c>
      <c r="I3" s="11">
        <v>4.5112781999999997E-2</v>
      </c>
      <c r="J3" s="1">
        <f>G3*1/3+H3*1/3+I3*1/3</f>
        <v>0.38645857859999999</v>
      </c>
    </row>
    <row r="4" spans="1:10" x14ac:dyDescent="0.2">
      <c r="A4" s="1" t="s">
        <v>3</v>
      </c>
      <c r="B4" s="1" t="s">
        <v>6</v>
      </c>
      <c r="C4" s="76"/>
      <c r="D4" s="76"/>
      <c r="E4" s="1">
        <v>0.51505273250000005</v>
      </c>
      <c r="F4" s="1">
        <v>0.71179290510000004</v>
      </c>
      <c r="G4" s="11">
        <v>0.5907827698</v>
      </c>
      <c r="H4" s="11">
        <v>0.1230366492</v>
      </c>
      <c r="I4" s="11">
        <v>0.30827067670000002</v>
      </c>
      <c r="J4" s="1">
        <f t="shared" ref="J4:J13" si="0">G4*1/3+H4*1/3+I4*1/3</f>
        <v>0.34069669856666668</v>
      </c>
    </row>
    <row r="5" spans="1:10" x14ac:dyDescent="0.2">
      <c r="A5" s="1" t="s">
        <v>4</v>
      </c>
      <c r="B5" s="1" t="s">
        <v>7</v>
      </c>
      <c r="C5" s="76"/>
      <c r="D5" s="76"/>
      <c r="E5" s="1">
        <v>3.79674017E-2</v>
      </c>
      <c r="F5" s="1">
        <v>0.24506232019999999</v>
      </c>
      <c r="G5" s="11">
        <v>9.7267253000000008E-3</v>
      </c>
      <c r="H5" s="11">
        <v>3.6649214700000002E-2</v>
      </c>
      <c r="I5" s="11">
        <v>0.962406015</v>
      </c>
      <c r="J5" s="1">
        <f t="shared" si="0"/>
        <v>0.33626065166666669</v>
      </c>
    </row>
    <row r="7" spans="1:10" s="42" customFormat="1" x14ac:dyDescent="0.2">
      <c r="A7" s="42" t="s">
        <v>2</v>
      </c>
      <c r="B7" s="42" t="s">
        <v>5</v>
      </c>
      <c r="C7" s="85" t="s">
        <v>110</v>
      </c>
      <c r="D7" s="76" t="s">
        <v>111</v>
      </c>
      <c r="E7" s="42">
        <v>0.70795781400000002</v>
      </c>
      <c r="F7" s="42">
        <v>0.89434324070000004</v>
      </c>
      <c r="G7" s="67">
        <v>0.79573876789999998</v>
      </c>
      <c r="H7" s="67">
        <v>0.31020942410000002</v>
      </c>
      <c r="I7" s="67">
        <v>0.14285714290000001</v>
      </c>
      <c r="J7" s="66">
        <f t="shared" si="0"/>
        <v>0.41626844496666671</v>
      </c>
    </row>
    <row r="8" spans="1:10" x14ac:dyDescent="0.2">
      <c r="A8" s="1" t="s">
        <v>3</v>
      </c>
      <c r="B8" s="1" t="s">
        <v>6</v>
      </c>
      <c r="C8" s="85"/>
      <c r="D8" s="76"/>
      <c r="E8" s="1">
        <v>0.27823585810000001</v>
      </c>
      <c r="F8" s="1">
        <v>0.69242569509999996</v>
      </c>
      <c r="G8" s="11">
        <v>0.26146364059999999</v>
      </c>
      <c r="H8" s="11">
        <v>0.33900523560000001</v>
      </c>
      <c r="I8" s="11">
        <v>0.47368421049999998</v>
      </c>
      <c r="J8" s="1">
        <f t="shared" si="0"/>
        <v>0.35805102890000001</v>
      </c>
    </row>
    <row r="9" spans="1:10" x14ac:dyDescent="0.2">
      <c r="A9" s="1" t="s">
        <v>4</v>
      </c>
      <c r="B9" s="1" t="s">
        <v>7</v>
      </c>
      <c r="C9" s="85"/>
      <c r="D9" s="76"/>
      <c r="E9" s="1">
        <v>2.9146692200000001E-2</v>
      </c>
      <c r="F9" s="1">
        <v>0.1883029722</v>
      </c>
      <c r="G9" s="11">
        <v>6.9476610000000002E-4</v>
      </c>
      <c r="H9" s="11">
        <v>2.4869109899999998E-2</v>
      </c>
      <c r="I9" s="11">
        <v>0.97744360900000005</v>
      </c>
      <c r="J9" s="1">
        <f t="shared" si="0"/>
        <v>0.33433582833333336</v>
      </c>
    </row>
    <row r="11" spans="1:10" x14ac:dyDescent="0.2">
      <c r="A11" s="1" t="s">
        <v>2</v>
      </c>
      <c r="B11" s="1" t="s">
        <v>5</v>
      </c>
      <c r="C11" s="76" t="s">
        <v>112</v>
      </c>
      <c r="D11" s="76" t="s">
        <v>113</v>
      </c>
      <c r="E11" s="1">
        <v>0.7549338954</v>
      </c>
      <c r="F11" s="1">
        <v>0.95612186239999997</v>
      </c>
      <c r="G11" s="1">
        <v>0.85370370370000004</v>
      </c>
      <c r="H11" s="1">
        <v>0.32460732980000001</v>
      </c>
      <c r="I11" s="1">
        <v>2.9629629599999999E-2</v>
      </c>
      <c r="J11" s="1">
        <f t="shared" si="0"/>
        <v>0.40264688770000001</v>
      </c>
    </row>
    <row r="12" spans="1:10" x14ac:dyDescent="0.2">
      <c r="A12" s="1" t="s">
        <v>3</v>
      </c>
      <c r="B12" s="1" t="s">
        <v>6</v>
      </c>
      <c r="C12" s="76"/>
      <c r="D12" s="76"/>
      <c r="E12" s="1">
        <v>0.42057865490000002</v>
      </c>
      <c r="F12" s="1">
        <v>0.64073577309999996</v>
      </c>
      <c r="G12" s="1">
        <v>0.45162037040000003</v>
      </c>
      <c r="H12" s="1">
        <v>0.25130890049999999</v>
      </c>
      <c r="I12" s="1">
        <v>0.3851851852</v>
      </c>
      <c r="J12" s="1">
        <f t="shared" si="0"/>
        <v>0.36270481870000004</v>
      </c>
    </row>
    <row r="13" spans="1:10" x14ac:dyDescent="0.2">
      <c r="A13" s="1" t="s">
        <v>4</v>
      </c>
      <c r="B13" s="1" t="s">
        <v>7</v>
      </c>
      <c r="C13" s="76"/>
      <c r="D13" s="76"/>
      <c r="E13" s="1">
        <v>0.78884843839999996</v>
      </c>
      <c r="F13" s="1">
        <v>0.94194290089999999</v>
      </c>
      <c r="G13" s="1">
        <v>0.95115740739999999</v>
      </c>
      <c r="H13" s="1">
        <v>5.2356021000000003E-3</v>
      </c>
      <c r="I13" s="1">
        <v>2.9629629599999999E-2</v>
      </c>
      <c r="J13" s="1">
        <f t="shared" si="0"/>
        <v>0.32867421303333333</v>
      </c>
    </row>
  </sheetData>
  <mergeCells count="6">
    <mergeCell ref="C11:C13"/>
    <mergeCell ref="D11:D13"/>
    <mergeCell ref="C3:C5"/>
    <mergeCell ref="D3:D5"/>
    <mergeCell ref="C7:C9"/>
    <mergeCell ref="D7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Results BASIC</vt:lpstr>
      <vt:lpstr>Results SPECIAL</vt:lpstr>
      <vt:lpstr>Results PRETRAINED</vt:lpstr>
      <vt:lpstr>Trials</vt:lpstr>
      <vt:lpstr>Check Bias of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2024-01-12T21:39:07Z</dcterms:modified>
</cp:coreProperties>
</file>