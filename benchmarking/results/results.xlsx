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49C871E4-A1B9-7148-9667-3B4F4FE704E6}" xr6:coauthVersionLast="47" xr6:coauthVersionMax="47" xr10:uidLastSave="{00000000-0000-0000-0000-000000000000}"/>
  <bookViews>
    <workbookView xWindow="0" yWindow="740" windowWidth="30240" windowHeight="18900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K56" i="6" l="1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<sst xmlns="http://schemas.openxmlformats.org/spreadsheetml/2006/main" count="470" uniqueCount="86">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</sst>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abSelected="1" topLeftCell="D5"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66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66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66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66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66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66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66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topLeftCell="D1" zoomScaleNormal="100" workbookViewId="0">
      <pane ySplit="1" topLeftCell="A27" activePane="bottomLeft" state="frozen"/>
      <selection pane="bottomLeft" activeCell="G41" sqref="G4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5" t="s">
        <v>15</v>
      </c>
    </row>
    <row r="3" spans="1:12" x14ac:dyDescent="0.2">
      <c r="A3" s="1" t="s">
        <v>3</v>
      </c>
      <c r="B3" s="1" t="s">
        <v>6</v>
      </c>
      <c r="C3" s="68"/>
      <c r="D3" s="64"/>
      <c r="E3" s="64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66"/>
    </row>
    <row r="4" spans="1:12" x14ac:dyDescent="0.2">
      <c r="A4" s="1" t="s">
        <v>4</v>
      </c>
      <c r="B4" s="1" t="s">
        <v>7</v>
      </c>
      <c r="C4" s="68"/>
      <c r="D4" s="64"/>
      <c r="E4" s="64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66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66" t="s">
        <v>16</v>
      </c>
    </row>
    <row r="7" spans="1:12" x14ac:dyDescent="0.2">
      <c r="A7" s="1" t="s">
        <v>3</v>
      </c>
      <c r="B7" s="1" t="s">
        <v>6</v>
      </c>
      <c r="C7" s="68"/>
      <c r="D7" s="64"/>
      <c r="E7" s="64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66"/>
    </row>
    <row r="8" spans="1:12" x14ac:dyDescent="0.2">
      <c r="A8" s="1" t="s">
        <v>4</v>
      </c>
      <c r="B8" s="1" t="s">
        <v>7</v>
      </c>
      <c r="C8" s="68"/>
      <c r="D8" s="64"/>
      <c r="E8" s="64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66"/>
    </row>
    <row r="9" spans="1:12" x14ac:dyDescent="0.2">
      <c r="G9" s="11"/>
      <c r="H9" s="11"/>
      <c r="I9" s="11"/>
      <c r="J9" s="11"/>
    </row>
    <row r="10" spans="1:12" s="59" customFormat="1" x14ac:dyDescent="0.2">
      <c r="A10" s="69" t="s">
        <v>37</v>
      </c>
      <c r="B10" s="69"/>
      <c r="C10" s="69"/>
      <c r="D10" s="69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66" t="s">
        <v>18</v>
      </c>
    </row>
    <row r="13" spans="1:12" x14ac:dyDescent="0.2">
      <c r="A13" s="1" t="s">
        <v>3</v>
      </c>
      <c r="B13" s="1" t="s">
        <v>6</v>
      </c>
      <c r="C13" s="68"/>
      <c r="D13" s="64"/>
      <c r="E13" s="64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66"/>
    </row>
    <row r="14" spans="1:12" x14ac:dyDescent="0.2">
      <c r="A14" s="1" t="s">
        <v>4</v>
      </c>
      <c r="B14" s="1" t="s">
        <v>7</v>
      </c>
      <c r="C14" s="68"/>
      <c r="D14" s="64"/>
      <c r="E14" s="64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66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66" t="s">
        <v>36</v>
      </c>
    </row>
    <row r="17" spans="1:11" x14ac:dyDescent="0.2">
      <c r="A17" s="1" t="s">
        <v>3</v>
      </c>
      <c r="B17" s="1" t="s">
        <v>6</v>
      </c>
      <c r="C17" s="68"/>
      <c r="D17" s="64"/>
      <c r="E17" s="64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66"/>
    </row>
    <row r="18" spans="1:11" x14ac:dyDescent="0.2">
      <c r="A18" s="1" t="s">
        <v>4</v>
      </c>
      <c r="B18" s="1" t="s">
        <v>7</v>
      </c>
      <c r="C18" s="68"/>
      <c r="D18" s="64"/>
      <c r="E18" s="64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66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66" t="s">
        <v>35</v>
      </c>
    </row>
    <row r="21" spans="1:11" x14ac:dyDescent="0.2">
      <c r="A21" s="1" t="s">
        <v>3</v>
      </c>
      <c r="B21" s="1" t="s">
        <v>6</v>
      </c>
      <c r="C21" s="68"/>
      <c r="D21" s="64"/>
      <c r="E21" s="64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66"/>
    </row>
    <row r="22" spans="1:11" x14ac:dyDescent="0.2">
      <c r="A22" s="1" t="s">
        <v>4</v>
      </c>
      <c r="B22" s="1" t="s">
        <v>7</v>
      </c>
      <c r="C22" s="68"/>
      <c r="D22" s="64"/>
      <c r="E22" s="64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66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68"/>
      <c r="D25" s="64"/>
      <c r="E25" s="64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68"/>
      <c r="D26" s="64"/>
      <c r="E26" s="64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68"/>
      <c r="D29" s="64"/>
      <c r="E29" s="64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68"/>
      <c r="D30" s="64"/>
      <c r="E30" s="64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68"/>
      <c r="D33" s="64"/>
      <c r="E33" s="64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68"/>
      <c r="D34" s="64"/>
      <c r="E34" s="64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68"/>
      <c r="D37" s="64"/>
      <c r="E37" s="64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68"/>
      <c r="D38" s="64"/>
      <c r="E38" s="64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69" t="s">
        <v>38</v>
      </c>
      <c r="B40" s="69"/>
      <c r="C40" s="69"/>
      <c r="D40" s="69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66" t="s">
        <v>30</v>
      </c>
    </row>
    <row r="43" spans="1:11" x14ac:dyDescent="0.2">
      <c r="A43" s="1" t="s">
        <v>3</v>
      </c>
      <c r="B43" s="1" t="s">
        <v>6</v>
      </c>
      <c r="C43" s="68"/>
      <c r="D43" s="64"/>
      <c r="E43" s="64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66"/>
    </row>
    <row r="44" spans="1:11" x14ac:dyDescent="0.2">
      <c r="A44" s="1" t="s">
        <v>4</v>
      </c>
      <c r="B44" s="1" t="s">
        <v>7</v>
      </c>
      <c r="C44" s="68"/>
      <c r="D44" s="64"/>
      <c r="E44" s="64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66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66" t="s">
        <v>31</v>
      </c>
    </row>
    <row r="47" spans="1:11" x14ac:dyDescent="0.2">
      <c r="A47" s="1" t="s">
        <v>3</v>
      </c>
      <c r="B47" s="1" t="s">
        <v>6</v>
      </c>
      <c r="C47" s="68"/>
      <c r="D47" s="64"/>
      <c r="E47" s="64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66"/>
    </row>
    <row r="48" spans="1:11" x14ac:dyDescent="0.2">
      <c r="A48" s="1" t="s">
        <v>4</v>
      </c>
      <c r="B48" s="1" t="s">
        <v>7</v>
      </c>
      <c r="C48" s="68"/>
      <c r="D48" s="64"/>
      <c r="E48" s="64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66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68"/>
      <c r="D51" s="64"/>
      <c r="E51" s="64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68"/>
      <c r="D52" s="64"/>
      <c r="E52" s="64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1" t="s">
        <v>59</v>
      </c>
      <c r="B55" s="71"/>
      <c r="C55" s="71"/>
      <c r="D55" s="71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3" t="s">
        <v>60</v>
      </c>
      <c r="B56" s="63"/>
      <c r="C56" s="63"/>
      <c r="D56" s="63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topLeftCell="D1" zoomScaleNormal="100" workbookViewId="0">
      <pane ySplit="1" topLeftCell="A35" activePane="bottomLeft" state="frozen"/>
      <selection pane="bottomLeft" activeCell="F27" sqref="F27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0" t="s">
        <v>41</v>
      </c>
      <c r="D2" s="67" t="s">
        <v>8</v>
      </c>
      <c r="E2" s="67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65" t="s">
        <v>15</v>
      </c>
    </row>
    <row r="3" spans="1:15" x14ac:dyDescent="0.2">
      <c r="A3" s="1" t="s">
        <v>3</v>
      </c>
      <c r="B3" s="1" t="s">
        <v>6</v>
      </c>
      <c r="C3" s="68"/>
      <c r="D3" s="64"/>
      <c r="E3" s="64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66"/>
    </row>
    <row r="4" spans="1:15" x14ac:dyDescent="0.2">
      <c r="A4" s="1" t="s">
        <v>4</v>
      </c>
      <c r="B4" s="1" t="s">
        <v>7</v>
      </c>
      <c r="C4" s="68"/>
      <c r="D4" s="64"/>
      <c r="E4" s="64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66"/>
    </row>
    <row r="6" spans="1:15" x14ac:dyDescent="0.2">
      <c r="A6" s="1" t="s">
        <v>2</v>
      </c>
      <c r="B6" s="1" t="s">
        <v>5</v>
      </c>
      <c r="C6" s="68" t="s">
        <v>42</v>
      </c>
      <c r="D6" s="64" t="s">
        <v>10</v>
      </c>
      <c r="E6" s="64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66" t="s">
        <v>16</v>
      </c>
    </row>
    <row r="7" spans="1:15" x14ac:dyDescent="0.2">
      <c r="A7" s="1" t="s">
        <v>3</v>
      </c>
      <c r="B7" s="1" t="s">
        <v>6</v>
      </c>
      <c r="C7" s="68"/>
      <c r="D7" s="64"/>
      <c r="E7" s="64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66"/>
    </row>
    <row r="8" spans="1:15" x14ac:dyDescent="0.2">
      <c r="A8" s="1" t="s">
        <v>4</v>
      </c>
      <c r="B8" s="1" t="s">
        <v>7</v>
      </c>
      <c r="C8" s="68"/>
      <c r="D8" s="64"/>
      <c r="E8" s="64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66"/>
    </row>
    <row r="10" spans="1:15" s="2" customFormat="1" x14ac:dyDescent="0.2">
      <c r="A10" s="78" t="s">
        <v>37</v>
      </c>
      <c r="B10" s="78"/>
      <c r="C10" s="78"/>
      <c r="D10" s="78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8" t="s">
        <v>43</v>
      </c>
      <c r="D12" s="64" t="s">
        <v>11</v>
      </c>
      <c r="E12" s="64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66" t="s">
        <v>18</v>
      </c>
    </row>
    <row r="13" spans="1:15" x14ac:dyDescent="0.2">
      <c r="A13" s="1" t="s">
        <v>3</v>
      </c>
      <c r="B13" s="1" t="s">
        <v>6</v>
      </c>
      <c r="C13" s="68"/>
      <c r="D13" s="64"/>
      <c r="E13" s="64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66"/>
    </row>
    <row r="14" spans="1:15" x14ac:dyDescent="0.2">
      <c r="A14" s="1" t="s">
        <v>4</v>
      </c>
      <c r="B14" s="1" t="s">
        <v>7</v>
      </c>
      <c r="C14" s="68"/>
      <c r="D14" s="64"/>
      <c r="E14" s="64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66"/>
    </row>
    <row r="16" spans="1:15" x14ac:dyDescent="0.2">
      <c r="A16" s="1" t="s">
        <v>2</v>
      </c>
      <c r="B16" s="1" t="s">
        <v>5</v>
      </c>
      <c r="C16" s="68" t="s">
        <v>44</v>
      </c>
      <c r="D16" s="64" t="s">
        <v>19</v>
      </c>
      <c r="E16" s="64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66" t="s">
        <v>36</v>
      </c>
    </row>
    <row r="17" spans="1:14" x14ac:dyDescent="0.2">
      <c r="A17" s="1" t="s">
        <v>3</v>
      </c>
      <c r="B17" s="1" t="s">
        <v>6</v>
      </c>
      <c r="C17" s="68"/>
      <c r="D17" s="64"/>
      <c r="E17" s="64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66"/>
    </row>
    <row r="18" spans="1:14" x14ac:dyDescent="0.2">
      <c r="A18" s="1" t="s">
        <v>4</v>
      </c>
      <c r="B18" s="1" t="s">
        <v>7</v>
      </c>
      <c r="C18" s="68"/>
      <c r="D18" s="64"/>
      <c r="E18" s="64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66"/>
    </row>
    <row r="20" spans="1:14" x14ac:dyDescent="0.2">
      <c r="A20" s="1" t="s">
        <v>2</v>
      </c>
      <c r="B20" s="1" t="s">
        <v>5</v>
      </c>
      <c r="C20" s="68" t="s">
        <v>45</v>
      </c>
      <c r="D20" s="64" t="s">
        <v>20</v>
      </c>
      <c r="E20" s="64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66" t="s">
        <v>35</v>
      </c>
    </row>
    <row r="21" spans="1:14" x14ac:dyDescent="0.2">
      <c r="A21" s="1" t="s">
        <v>3</v>
      </c>
      <c r="B21" s="1" t="s">
        <v>6</v>
      </c>
      <c r="C21" s="68"/>
      <c r="D21" s="64"/>
      <c r="E21" s="64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66"/>
    </row>
    <row r="22" spans="1:14" x14ac:dyDescent="0.2">
      <c r="A22" s="1" t="s">
        <v>4</v>
      </c>
      <c r="B22" s="1" t="s">
        <v>7</v>
      </c>
      <c r="C22" s="68"/>
      <c r="D22" s="64"/>
      <c r="E22" s="64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66"/>
    </row>
    <row r="24" spans="1:14" x14ac:dyDescent="0.2">
      <c r="A24" s="1" t="s">
        <v>2</v>
      </c>
      <c r="B24" s="1" t="s">
        <v>5</v>
      </c>
      <c r="C24" s="68" t="s">
        <v>46</v>
      </c>
      <c r="D24" s="64" t="s">
        <v>21</v>
      </c>
      <c r="E24" s="64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68"/>
      <c r="D25" s="64"/>
      <c r="E25" s="64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68"/>
      <c r="D26" s="64"/>
      <c r="E26" s="64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68" t="s">
        <v>47</v>
      </c>
      <c r="D28" s="64" t="s">
        <v>22</v>
      </c>
      <c r="E28" s="64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68"/>
      <c r="D29" s="64"/>
      <c r="E29" s="64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68"/>
      <c r="D30" s="64"/>
      <c r="E30" s="64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68" t="s">
        <v>48</v>
      </c>
      <c r="D32" s="64" t="s">
        <v>23</v>
      </c>
      <c r="E32" s="64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68"/>
      <c r="D33" s="64"/>
      <c r="E33" s="64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68"/>
      <c r="D34" s="64"/>
      <c r="E34" s="64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68" t="s">
        <v>49</v>
      </c>
      <c r="D36" s="64" t="s">
        <v>24</v>
      </c>
      <c r="E36" s="64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68"/>
      <c r="D37" s="64"/>
      <c r="E37" s="64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68"/>
      <c r="D38" s="64"/>
      <c r="E38" s="64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78" t="s">
        <v>38</v>
      </c>
      <c r="B40" s="78"/>
      <c r="C40" s="78"/>
      <c r="D40" s="78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8" t="s">
        <v>50</v>
      </c>
      <c r="D42" s="64" t="s">
        <v>25</v>
      </c>
      <c r="E42" s="64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66" t="s">
        <v>30</v>
      </c>
    </row>
    <row r="43" spans="1:14" x14ac:dyDescent="0.2">
      <c r="A43" s="1" t="s">
        <v>3</v>
      </c>
      <c r="B43" s="1" t="s">
        <v>6</v>
      </c>
      <c r="C43" s="68"/>
      <c r="D43" s="64"/>
      <c r="E43" s="64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66"/>
    </row>
    <row r="44" spans="1:14" x14ac:dyDescent="0.2">
      <c r="A44" s="1" t="s">
        <v>4</v>
      </c>
      <c r="B44" s="1" t="s">
        <v>7</v>
      </c>
      <c r="C44" s="68"/>
      <c r="D44" s="64"/>
      <c r="E44" s="64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66"/>
    </row>
    <row r="46" spans="1:14" x14ac:dyDescent="0.2">
      <c r="A46" s="1" t="s">
        <v>2</v>
      </c>
      <c r="B46" s="1" t="s">
        <v>5</v>
      </c>
      <c r="C46" s="68" t="s">
        <v>51</v>
      </c>
      <c r="D46" s="64" t="s">
        <v>26</v>
      </c>
      <c r="E46" s="64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66" t="s">
        <v>31</v>
      </c>
    </row>
    <row r="47" spans="1:14" x14ac:dyDescent="0.2">
      <c r="A47" s="1" t="s">
        <v>3</v>
      </c>
      <c r="B47" s="1" t="s">
        <v>6</v>
      </c>
      <c r="C47" s="68"/>
      <c r="D47" s="64"/>
      <c r="E47" s="64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66"/>
    </row>
    <row r="48" spans="1:14" x14ac:dyDescent="0.2">
      <c r="A48" s="1" t="s">
        <v>4</v>
      </c>
      <c r="B48" s="1" t="s">
        <v>7</v>
      </c>
      <c r="C48" s="68"/>
      <c r="D48" s="64"/>
      <c r="E48" s="64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66"/>
    </row>
    <row r="50" spans="1:14" x14ac:dyDescent="0.2">
      <c r="A50" s="1" t="s">
        <v>2</v>
      </c>
      <c r="B50" s="1" t="s">
        <v>5</v>
      </c>
      <c r="C50" s="68" t="s">
        <v>52</v>
      </c>
      <c r="D50" s="64" t="s">
        <v>39</v>
      </c>
      <c r="E50" s="64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68"/>
      <c r="D51" s="64"/>
      <c r="E51" s="64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68"/>
      <c r="D52" s="64"/>
      <c r="E52" s="64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79" t="s">
        <v>59</v>
      </c>
      <c r="B55" s="79"/>
      <c r="C55" s="79"/>
      <c r="D55" s="79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77" t="s">
        <v>60</v>
      </c>
      <c r="B56" s="77"/>
      <c r="C56" s="77"/>
      <c r="D56" s="77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4" t="s">
        <v>64</v>
      </c>
      <c r="B58" s="74"/>
      <c r="C58" s="74"/>
      <c r="D58" s="74"/>
      <c r="E58" s="74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5" t="s">
        <v>65</v>
      </c>
      <c r="B59" s="75"/>
      <c r="C59" s="75"/>
      <c r="D59" s="75"/>
      <c r="E59" s="75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6" t="s">
        <v>66</v>
      </c>
      <c r="B60" s="76"/>
      <c r="C60" s="76"/>
      <c r="D60" s="76"/>
      <c r="E60" s="76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2" t="s">
        <v>83</v>
      </c>
      <c r="B62" s="72"/>
      <c r="C62" s="72"/>
      <c r="D62" s="72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2" t="s">
        <v>84</v>
      </c>
      <c r="B63" s="73"/>
      <c r="C63" s="73"/>
      <c r="D63" s="73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2" t="s">
        <v>85</v>
      </c>
      <c r="B64" s="73"/>
      <c r="C64" s="73"/>
      <c r="D64" s="73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35"/>
  <sheetViews>
    <sheetView zoomScaleNormal="100" workbookViewId="0">
      <pane ySplit="1" topLeftCell="A7" activePane="bottomLeft" state="frozen"/>
      <selection pane="bottomLeft" activeCell="C13" sqref="C13:C15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77" t="s">
        <v>71</v>
      </c>
      <c r="B3" s="77"/>
      <c r="C3" s="77"/>
      <c r="D3" s="77"/>
      <c r="E3" s="77"/>
      <c r="F3" s="77"/>
      <c r="G3" s="77"/>
      <c r="H3" s="77"/>
      <c r="I3" s="77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66" t="s">
        <v>67</v>
      </c>
      <c r="D5" s="66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66"/>
      <c r="D6" s="66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66"/>
      <c r="D7" s="66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66" t="s">
        <v>69</v>
      </c>
      <c r="D9" s="66" t="s">
        <v>70</v>
      </c>
      <c r="E9" s="11">
        <v>5.1094890499999997E-2</v>
      </c>
      <c r="F9" s="11">
        <v>9.9884747999999992E-3</v>
      </c>
      <c r="G9" s="11">
        <v>0.4692662313</v>
      </c>
      <c r="H9" s="11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66"/>
      <c r="D10" s="66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66"/>
      <c r="D11" s="66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66" t="s">
        <v>74</v>
      </c>
      <c r="D13" s="66" t="s">
        <v>81</v>
      </c>
      <c r="J13" s="11">
        <f>SUM(E13*1/3,F13*1/3,H13*1/3)</f>
        <v>0</v>
      </c>
      <c r="K13" s="11">
        <f>SUM(G13*1/2,I13*1/2)</f>
        <v>0</v>
      </c>
      <c r="L13" s="11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66"/>
      <c r="D14" s="66"/>
      <c r="J14" s="11">
        <f>SUM(E14*1/3,F14*1/3,H14*1/3)</f>
        <v>0</v>
      </c>
      <c r="K14" s="11">
        <f>SUM(G14*1/2,I14*1/2)</f>
        <v>0</v>
      </c>
      <c r="L14" s="11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66"/>
      <c r="D15" s="66"/>
      <c r="J15" s="11">
        <f>SUM(E15*1/3,F15*1/3,H15*1/3)</f>
        <v>0</v>
      </c>
      <c r="K15" s="11">
        <f>SUM(G15*1/2,I15*1/2)</f>
        <v>0</v>
      </c>
      <c r="L15" s="11">
        <f>SUM(E15*1/5,F15*1/5,G15*1/5,H15*1/5,I15*1/5)</f>
        <v>0</v>
      </c>
    </row>
    <row r="17" spans="1:12" x14ac:dyDescent="0.2">
      <c r="A17" s="1" t="s">
        <v>2</v>
      </c>
      <c r="B17" s="1" t="s">
        <v>5</v>
      </c>
      <c r="C17" s="66" t="s">
        <v>80</v>
      </c>
      <c r="D17" s="66" t="s">
        <v>79</v>
      </c>
      <c r="J17" s="11">
        <f>SUM(E17*1/3,F17*1/3,H17*1/3)</f>
        <v>0</v>
      </c>
      <c r="K17" s="11">
        <f>SUM(G17*1/2,I17*1/2)</f>
        <v>0</v>
      </c>
      <c r="L17" s="11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66"/>
      <c r="D18" s="66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66"/>
      <c r="D19" s="66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66" t="s">
        <v>72</v>
      </c>
      <c r="D21" s="66" t="s">
        <v>73</v>
      </c>
      <c r="J21" s="11">
        <f>SUM(E21*1/3,F21*1/3,H21*1/3)</f>
        <v>0</v>
      </c>
      <c r="K21" s="11">
        <f>SUM(G21*1/2,I21*1/2)</f>
        <v>0</v>
      </c>
      <c r="L21" s="11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66"/>
      <c r="D22" s="66"/>
      <c r="J22" s="11">
        <f>SUM(E22*1/3,F22*1/3,H22*1/3)</f>
        <v>0</v>
      </c>
      <c r="K22" s="11">
        <f>SUM(G22*1/2,I22*1/2)</f>
        <v>0</v>
      </c>
      <c r="L22" s="11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66"/>
      <c r="D23" s="66"/>
      <c r="J23" s="11">
        <f>SUM(E23*1/3,F23*1/3,H23*1/3)</f>
        <v>0</v>
      </c>
      <c r="K23" s="11">
        <f>SUM(G23*1/2,I23*1/2)</f>
        <v>0</v>
      </c>
      <c r="L23" s="11">
        <f>SUM(E23*1/5,F23*1/5,G23*1/5,H23*1/5,I23*1/5)</f>
        <v>0</v>
      </c>
    </row>
    <row r="25" spans="1:12" x14ac:dyDescent="0.2">
      <c r="A25" s="1" t="s">
        <v>2</v>
      </c>
      <c r="B25" s="1" t="s">
        <v>5</v>
      </c>
      <c r="C25" s="66" t="s">
        <v>77</v>
      </c>
      <c r="D25" s="66" t="s">
        <v>75</v>
      </c>
      <c r="J25" s="11">
        <f>SUM(E25*1/3,F25*1/3,H25*1/3)</f>
        <v>0</v>
      </c>
      <c r="K25" s="11">
        <f>SUM(G25*1/2,I25*1/2)</f>
        <v>0</v>
      </c>
      <c r="L25" s="11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66"/>
      <c r="D26" s="66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66"/>
      <c r="D27" s="66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9" spans="1:12" x14ac:dyDescent="0.2">
      <c r="A29" s="1" t="s">
        <v>2</v>
      </c>
      <c r="B29" s="1" t="s">
        <v>5</v>
      </c>
      <c r="C29" s="66" t="s">
        <v>78</v>
      </c>
      <c r="D29" s="66" t="s">
        <v>76</v>
      </c>
      <c r="J29" s="11">
        <f>SUM(E29*1/3,F29*1/3,H29*1/3)</f>
        <v>0</v>
      </c>
      <c r="K29" s="11">
        <f>SUM(G29*1/2,I29*1/2)</f>
        <v>0</v>
      </c>
      <c r="L29" s="11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66"/>
      <c r="D30" s="66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66"/>
      <c r="D31" s="66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4" spans="1:14" s="14" customFormat="1" x14ac:dyDescent="0.2">
      <c r="A34" s="79" t="s">
        <v>59</v>
      </c>
      <c r="B34" s="79"/>
      <c r="C34" s="79"/>
      <c r="D34" s="79"/>
      <c r="E34" s="16">
        <f t="shared" ref="E34:L34" si="0">MAX(E4:E32)</f>
        <v>6.9727237799999994E-2</v>
      </c>
      <c r="F34" s="16">
        <f t="shared" si="0"/>
        <v>9.9884747999999992E-3</v>
      </c>
      <c r="G34" s="16">
        <f t="shared" si="0"/>
        <v>0.4692662313</v>
      </c>
      <c r="H34" s="16">
        <f t="shared" si="0"/>
        <v>0.89344463880000002</v>
      </c>
      <c r="I34" s="16">
        <f t="shared" si="0"/>
        <v>0.4837691543</v>
      </c>
      <c r="J34" s="16">
        <f t="shared" si="0"/>
        <v>0.31818292593333336</v>
      </c>
      <c r="K34" s="16">
        <f t="shared" si="0"/>
        <v>0.43074060685000004</v>
      </c>
      <c r="L34" s="16">
        <f t="shared" si="0"/>
        <v>0.36320184355999996</v>
      </c>
      <c r="M34" s="16"/>
      <c r="N34" s="17"/>
    </row>
    <row r="35" spans="1:14" s="52" customFormat="1" x14ac:dyDescent="0.2">
      <c r="A35" s="74" t="s">
        <v>60</v>
      </c>
      <c r="B35" s="74"/>
      <c r="C35" s="74"/>
      <c r="D35" s="74"/>
      <c r="E35" s="29">
        <f t="shared" ref="E35:L35" si="1">AVERAGE(E5:E32)</f>
        <v>3.0173517733333332E-2</v>
      </c>
      <c r="F35" s="29">
        <f t="shared" si="1"/>
        <v>5.4104238333333339E-3</v>
      </c>
      <c r="G35" s="29">
        <f t="shared" si="1"/>
        <v>0.28502369061666666</v>
      </c>
      <c r="H35" s="29">
        <f t="shared" si="1"/>
        <v>0.68663101311666674</v>
      </c>
      <c r="I35" s="29">
        <f t="shared" si="1"/>
        <v>0.43126544105000003</v>
      </c>
      <c r="J35" s="29">
        <f t="shared" si="1"/>
        <v>6.878237663650795E-2</v>
      </c>
      <c r="K35" s="29">
        <f t="shared" si="1"/>
        <v>0.10232701880952383</v>
      </c>
      <c r="L35" s="29">
        <f t="shared" si="1"/>
        <v>8.2200233505714301E-2</v>
      </c>
      <c r="M35" s="29"/>
      <c r="N35" s="58"/>
    </row>
  </sheetData>
  <mergeCells count="17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2024-01-03T20:44:29Z</dcterms:modified>
</cp:coreProperties>
</file>