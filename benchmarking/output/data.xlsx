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deborahdore/Documents/political-debates-graph-analysis/benchmarking/output/"/>
    </mc:Choice>
  </mc:AlternateContent>
  <xr:revisionPtr revIDLastSave="0" documentId="13_ncr:1_{BC837D66-E298-8F4D-982D-4E217F14A189}" xr6:coauthVersionLast="47" xr6:coauthVersionMax="47" xr10:uidLastSave="{00000000-0000-0000-0000-000000000000}"/>
  <bookViews>
    <workbookView xWindow="3920" yWindow="500" windowWidth="34480" windowHeight="19400" activeTab="3" xr2:uid="{00000000-000D-0000-FFFF-FFFF00000000}"/>
  </bookViews>
  <sheets>
    <sheet name="basic" sheetId="1" r:id="rId1"/>
    <sheet name="special" sheetId="2" r:id="rId2"/>
    <sheet name="pretrained" sheetId="4" r:id="rId3"/>
    <sheet name="pretrained - average" sheetId="10" r:id="rId4"/>
    <sheet name="checking bias" sheetId="5" r:id="rId5"/>
    <sheet name="checking noise" sheetId="6" r:id="rId6"/>
    <sheet name="family of models" sheetId="7" r:id="rId7"/>
    <sheet name="Meta-Learner Roberta" sheetId="8" r:id="rId8"/>
    <sheet name="Meta-Learner Deber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7" l="1"/>
  <c r="K10" i="7"/>
  <c r="K8" i="7"/>
  <c r="K7" i="7"/>
  <c r="K6" i="7"/>
  <c r="K4" i="7"/>
  <c r="K3" i="7"/>
  <c r="K2" i="7"/>
  <c r="L20" i="6"/>
  <c r="L19" i="6"/>
  <c r="L18" i="6"/>
  <c r="L16" i="6"/>
  <c r="L15" i="6"/>
  <c r="L14" i="6"/>
  <c r="L26" i="6"/>
  <c r="L12" i="6"/>
  <c r="L11" i="6"/>
  <c r="L10" i="6"/>
  <c r="L8" i="6"/>
  <c r="L7" i="6"/>
  <c r="L6" i="6"/>
  <c r="L3" i="6"/>
  <c r="L4" i="6"/>
  <c r="L2" i="6"/>
  <c r="L3" i="5"/>
  <c r="L4" i="5"/>
  <c r="L2" i="5"/>
  <c r="K12" i="5"/>
  <c r="K11" i="5"/>
  <c r="K10" i="5"/>
  <c r="K8" i="5"/>
  <c r="K7" i="5"/>
  <c r="K6" i="5"/>
  <c r="K3" i="5"/>
  <c r="K4" i="5"/>
  <c r="K2" i="5"/>
  <c r="K14" i="5" s="1"/>
  <c r="C22" i="5"/>
  <c r="E16" i="5"/>
  <c r="D16" i="5"/>
  <c r="C16" i="5"/>
  <c r="J32" i="10"/>
  <c r="I32" i="10"/>
  <c r="H32" i="10"/>
  <c r="J29" i="10"/>
  <c r="I29" i="10"/>
  <c r="H29" i="10"/>
  <c r="J13" i="10"/>
  <c r="I13" i="10"/>
  <c r="H13" i="10"/>
  <c r="J24" i="10"/>
  <c r="I24" i="10"/>
  <c r="H24" i="10"/>
  <c r="J34" i="10"/>
  <c r="I34" i="10"/>
  <c r="H34" i="10"/>
  <c r="J10" i="10"/>
  <c r="I10" i="10"/>
  <c r="H10" i="10"/>
  <c r="J28" i="10"/>
  <c r="I28" i="10"/>
  <c r="H28" i="10"/>
  <c r="J2" i="10"/>
  <c r="I2" i="10"/>
  <c r="H2" i="10"/>
  <c r="J15" i="10"/>
  <c r="I15" i="10"/>
  <c r="H15" i="10"/>
  <c r="J31" i="10"/>
  <c r="I31" i="10"/>
  <c r="H31" i="10"/>
  <c r="J23" i="10"/>
  <c r="I23" i="10"/>
  <c r="H23" i="10"/>
  <c r="J16" i="10"/>
  <c r="I16" i="10"/>
  <c r="H16" i="10"/>
  <c r="J21" i="10"/>
  <c r="I21" i="10"/>
  <c r="H21" i="10"/>
  <c r="J35" i="10"/>
  <c r="I35" i="10"/>
  <c r="H35" i="10"/>
  <c r="J3" i="10"/>
  <c r="I3" i="10"/>
  <c r="H3" i="10"/>
  <c r="J18" i="10"/>
  <c r="I18" i="10"/>
  <c r="H18" i="10"/>
  <c r="J7" i="10"/>
  <c r="I7" i="10"/>
  <c r="H7" i="10"/>
  <c r="J4" i="10"/>
  <c r="I4" i="10"/>
  <c r="H4" i="10"/>
  <c r="J17" i="10"/>
  <c r="I17" i="10"/>
  <c r="H17" i="10"/>
  <c r="J36" i="10"/>
  <c r="I36" i="10"/>
  <c r="H36" i="10"/>
  <c r="J8" i="10"/>
  <c r="I8" i="10"/>
  <c r="H8" i="10"/>
  <c r="J33" i="10"/>
  <c r="I33" i="10"/>
  <c r="H33" i="10"/>
  <c r="J27" i="10"/>
  <c r="I27" i="10"/>
  <c r="H27" i="10"/>
  <c r="J9" i="10"/>
  <c r="I9" i="10"/>
  <c r="H9" i="10"/>
  <c r="J37" i="10"/>
  <c r="I37" i="10"/>
  <c r="H37" i="10"/>
  <c r="J25" i="10"/>
  <c r="I25" i="10"/>
  <c r="H25" i="10"/>
  <c r="J11" i="10"/>
  <c r="I11" i="10"/>
  <c r="H11" i="10"/>
  <c r="J30" i="10"/>
  <c r="I30" i="10"/>
  <c r="H30" i="10"/>
  <c r="J14" i="10"/>
  <c r="I14" i="10"/>
  <c r="H14" i="10"/>
  <c r="J6" i="10"/>
  <c r="I6" i="10"/>
  <c r="H6" i="10"/>
  <c r="J20" i="10"/>
  <c r="I20" i="10"/>
  <c r="H20" i="10"/>
  <c r="J26" i="10"/>
  <c r="I26" i="10"/>
  <c r="H26" i="10"/>
  <c r="J5" i="10"/>
  <c r="I5" i="10"/>
  <c r="H5" i="10"/>
  <c r="J19" i="10"/>
  <c r="I19" i="10"/>
  <c r="H19" i="10"/>
  <c r="J22" i="10"/>
  <c r="I22" i="10"/>
  <c r="H22" i="10"/>
  <c r="J12" i="10"/>
  <c r="I12" i="10"/>
  <c r="H12" i="10"/>
  <c r="N7" i="5"/>
  <c r="M7" i="5"/>
  <c r="L7" i="5"/>
  <c r="F26" i="6"/>
  <c r="E26" i="6"/>
  <c r="D26" i="6"/>
  <c r="M12" i="5"/>
  <c r="M11" i="5"/>
  <c r="M10" i="5"/>
  <c r="M8" i="5"/>
  <c r="M6" i="5"/>
  <c r="M4" i="5"/>
  <c r="M3" i="5"/>
  <c r="M2" i="5"/>
  <c r="N10" i="5"/>
  <c r="N11" i="5"/>
  <c r="N12" i="5"/>
  <c r="L12" i="5"/>
  <c r="L8" i="5"/>
  <c r="L6" i="5"/>
  <c r="L10" i="5"/>
  <c r="L11" i="5"/>
  <c r="E22" i="5"/>
  <c r="D22" i="5"/>
  <c r="E19" i="5"/>
  <c r="D19" i="5"/>
  <c r="C19" i="5"/>
  <c r="N6" i="5" s="1"/>
  <c r="L27" i="6" l="1"/>
  <c r="L25" i="6"/>
  <c r="K15" i="5"/>
  <c r="K16" i="5"/>
  <c r="N8" i="5"/>
  <c r="L16" i="5"/>
  <c r="L14" i="5"/>
  <c r="L15" i="5"/>
  <c r="G51" i="4"/>
  <c r="N11" i="7"/>
  <c r="N10" i="7"/>
  <c r="N8" i="7"/>
  <c r="N7" i="7"/>
  <c r="N6" i="7"/>
  <c r="N4" i="7"/>
  <c r="N3" i="7"/>
  <c r="N2" i="7"/>
  <c r="O20" i="6"/>
  <c r="O19" i="6"/>
  <c r="O18" i="6"/>
  <c r="O16" i="6"/>
  <c r="O15" i="6"/>
  <c r="O14" i="6"/>
  <c r="O12" i="6"/>
  <c r="O11" i="6"/>
  <c r="O10" i="6"/>
  <c r="O8" i="6"/>
  <c r="O7" i="6"/>
  <c r="O6" i="6"/>
  <c r="O4" i="6"/>
  <c r="O3" i="6"/>
  <c r="O2" i="6"/>
  <c r="O27" i="6" l="1"/>
  <c r="O26" i="6"/>
  <c r="O25" i="6"/>
  <c r="N3" i="5"/>
  <c r="N4" i="5"/>
  <c r="N2" i="5"/>
  <c r="M48" i="4"/>
  <c r="M47" i="4"/>
  <c r="M46" i="4"/>
  <c r="M44" i="4"/>
  <c r="M43" i="4"/>
  <c r="M42" i="4"/>
  <c r="M40" i="4"/>
  <c r="M39" i="4"/>
  <c r="M38" i="4"/>
  <c r="M36" i="4"/>
  <c r="M35" i="4"/>
  <c r="M34" i="4"/>
  <c r="M32" i="4"/>
  <c r="M31" i="4"/>
  <c r="M30" i="4"/>
  <c r="M28" i="4"/>
  <c r="M27" i="4"/>
  <c r="M26" i="4"/>
  <c r="M24" i="4"/>
  <c r="M23" i="4"/>
  <c r="M22" i="4"/>
  <c r="M20" i="4"/>
  <c r="M19" i="4"/>
  <c r="M18" i="4"/>
  <c r="M16" i="4"/>
  <c r="M15" i="4"/>
  <c r="M14" i="4"/>
  <c r="M12" i="4"/>
  <c r="M11" i="4"/>
  <c r="M10" i="4"/>
  <c r="M8" i="4"/>
  <c r="M7" i="4"/>
  <c r="M6" i="4"/>
  <c r="M3" i="4"/>
  <c r="M4" i="4"/>
  <c r="M2" i="4"/>
  <c r="J53" i="4"/>
  <c r="I53" i="4"/>
  <c r="H53" i="4"/>
  <c r="G53" i="4"/>
  <c r="F53" i="4"/>
  <c r="N20" i="6"/>
  <c r="N19" i="6"/>
  <c r="N18" i="6"/>
  <c r="N16" i="6"/>
  <c r="N15" i="6"/>
  <c r="N14" i="6"/>
  <c r="N12" i="6"/>
  <c r="M20" i="6"/>
  <c r="M19" i="6"/>
  <c r="M18" i="6"/>
  <c r="M16" i="6"/>
  <c r="M15" i="6"/>
  <c r="M14" i="6"/>
  <c r="M12" i="6"/>
  <c r="N11" i="6"/>
  <c r="M11" i="6"/>
  <c r="N10" i="6"/>
  <c r="M10" i="6"/>
  <c r="N8" i="6"/>
  <c r="M8" i="6"/>
  <c r="N7" i="6"/>
  <c r="M7" i="6"/>
  <c r="N6" i="6"/>
  <c r="M6" i="6"/>
  <c r="N4" i="6"/>
  <c r="M4" i="6"/>
  <c r="N3" i="6"/>
  <c r="M3" i="6"/>
  <c r="N2" i="6"/>
  <c r="M2" i="6"/>
  <c r="M11" i="7"/>
  <c r="M10" i="7"/>
  <c r="M8" i="7"/>
  <c r="M7" i="7"/>
  <c r="M6" i="7"/>
  <c r="M3" i="7"/>
  <c r="M4" i="7"/>
  <c r="L11" i="7"/>
  <c r="L10" i="7"/>
  <c r="L8" i="7"/>
  <c r="L7" i="7"/>
  <c r="L6" i="7"/>
  <c r="L3" i="7"/>
  <c r="L4" i="7"/>
  <c r="M2" i="7"/>
  <c r="L2" i="7"/>
  <c r="L34" i="4"/>
  <c r="L35" i="4"/>
  <c r="L36" i="4"/>
  <c r="L38" i="4"/>
  <c r="L39" i="4"/>
  <c r="L40" i="4"/>
  <c r="L42" i="4"/>
  <c r="L43" i="4"/>
  <c r="L44" i="4"/>
  <c r="L46" i="4"/>
  <c r="L47" i="4"/>
  <c r="L48" i="4"/>
  <c r="L32" i="4"/>
  <c r="L28" i="4"/>
  <c r="L26" i="4"/>
  <c r="L27" i="4"/>
  <c r="L30" i="4"/>
  <c r="L31" i="4"/>
  <c r="L6" i="4"/>
  <c r="L7" i="4"/>
  <c r="L8" i="4"/>
  <c r="L10" i="4"/>
  <c r="L11" i="4"/>
  <c r="L12" i="4"/>
  <c r="L14" i="4"/>
  <c r="L15" i="4"/>
  <c r="L16" i="4"/>
  <c r="L18" i="4"/>
  <c r="L19" i="4"/>
  <c r="L20" i="4"/>
  <c r="L22" i="4"/>
  <c r="L23" i="4"/>
  <c r="L24" i="4"/>
  <c r="L4" i="4"/>
  <c r="L3" i="4"/>
  <c r="L2" i="4"/>
  <c r="K32" i="4"/>
  <c r="K34" i="4"/>
  <c r="K35" i="4"/>
  <c r="K36" i="4"/>
  <c r="K38" i="4"/>
  <c r="K39" i="4"/>
  <c r="K40" i="4"/>
  <c r="K42" i="4"/>
  <c r="K43" i="4"/>
  <c r="K44" i="4"/>
  <c r="K46" i="4"/>
  <c r="K47" i="4"/>
  <c r="K48" i="4"/>
  <c r="K3" i="4"/>
  <c r="K4" i="4"/>
  <c r="K6" i="4"/>
  <c r="K7" i="4"/>
  <c r="K8" i="4"/>
  <c r="K10" i="4"/>
  <c r="K11" i="4"/>
  <c r="K12" i="4"/>
  <c r="K14" i="4"/>
  <c r="K15" i="4"/>
  <c r="K16" i="4"/>
  <c r="K18" i="4"/>
  <c r="K19" i="4"/>
  <c r="K20" i="4"/>
  <c r="K22" i="4"/>
  <c r="K23" i="4"/>
  <c r="K24" i="4"/>
  <c r="K26" i="4"/>
  <c r="K27" i="4"/>
  <c r="K28" i="4"/>
  <c r="K30" i="4"/>
  <c r="K31" i="4"/>
  <c r="K2" i="4"/>
  <c r="N16" i="5" l="1"/>
  <c r="N15" i="5"/>
  <c r="N14" i="5"/>
  <c r="M25" i="6"/>
  <c r="M27" i="6"/>
  <c r="M26" i="6"/>
  <c r="N27" i="6"/>
  <c r="N26" i="6"/>
  <c r="N25" i="6"/>
  <c r="M51" i="4"/>
  <c r="L52" i="4"/>
  <c r="K53" i="4"/>
  <c r="M53" i="4"/>
  <c r="K51" i="4"/>
  <c r="M52" i="4"/>
  <c r="K52" i="4"/>
  <c r="L51" i="4"/>
  <c r="L53" i="4"/>
  <c r="J51" i="2"/>
  <c r="J52" i="4" l="1"/>
  <c r="I52" i="4"/>
  <c r="H52" i="4"/>
  <c r="G52" i="4"/>
  <c r="F52" i="4"/>
  <c r="J51" i="4"/>
  <c r="I51" i="4"/>
  <c r="H51" i="4"/>
  <c r="F51" i="4"/>
  <c r="J52" i="2"/>
  <c r="I52" i="2"/>
  <c r="H52" i="2"/>
  <c r="G52" i="2"/>
  <c r="F52" i="2"/>
  <c r="I51" i="2"/>
  <c r="H51" i="2"/>
  <c r="G51" i="2"/>
  <c r="F51" i="2"/>
  <c r="I51" i="1"/>
  <c r="J52" i="1"/>
  <c r="I52" i="1"/>
  <c r="H52" i="1"/>
  <c r="G52" i="1"/>
  <c r="F52" i="1"/>
  <c r="J51" i="1"/>
  <c r="H51" i="1"/>
  <c r="G51" i="1"/>
  <c r="F51" i="1"/>
  <c r="M16" i="5"/>
  <c r="M15" i="5"/>
  <c r="M14" i="5"/>
</calcChain>
</file>

<file path=xl/sharedStrings.xml><?xml version="1.0" encoding="utf-8"?>
<sst xmlns="http://schemas.openxmlformats.org/spreadsheetml/2006/main" count="644" uniqueCount="145">
  <si>
    <t>Model</t>
  </si>
  <si>
    <t>Link Prediction HITS@10</t>
  </si>
  <si>
    <t>Link Deletion HITS@10</t>
  </si>
  <si>
    <t>Relation Prediction HITS@1</t>
  </si>
  <si>
    <t>Triple Classification F1-Macro</t>
  </si>
  <si>
    <t>Relation Classification F1-Macro</t>
  </si>
  <si>
    <t>basic/text+type-speaker</t>
  </si>
  <si>
    <t>TransE</t>
  </si>
  <si>
    <t>DistMult</t>
  </si>
  <si>
    <t>ConvE</t>
  </si>
  <si>
    <t>basic/text-claim+premise</t>
  </si>
  <si>
    <t>basic/text-claim+premise-speaker-year</t>
  </si>
  <si>
    <t>basic/text-claim-speaker</t>
  </si>
  <si>
    <t>basic/text-speaker</t>
  </si>
  <si>
    <t>basic/text-claim-year</t>
  </si>
  <si>
    <t>basic/text-speaker-year</t>
  </si>
  <si>
    <t>basic/text+type-speaker-year</t>
  </si>
  <si>
    <t>basic/text</t>
  </si>
  <si>
    <t>basic/text-year</t>
  </si>
  <si>
    <t>basic/text+type</t>
  </si>
  <si>
    <t>basic/text+type-year</t>
  </si>
  <si>
    <t>Experiment: basic training on all nodes in the graph</t>
  </si>
  <si>
    <t>Model Type</t>
  </si>
  <si>
    <t>Semantic Matching</t>
  </si>
  <si>
    <t>Other</t>
  </si>
  <si>
    <t>Nodes Composition</t>
  </si>
  <si>
    <t>Relation Composition</t>
  </si>
  <si>
    <t>only text</t>
  </si>
  <si>
    <t>Support, Attack, Equivalent</t>
  </si>
  <si>
    <t>Support, Attack, Equivalent, year</t>
  </si>
  <si>
    <t>Support, Attack, Equivalent, says</t>
  </si>
  <si>
    <t>Support, Attack, Equivalent, type</t>
  </si>
  <si>
    <t>Support, Attack, Equivalent, type, year</t>
  </si>
  <si>
    <t>Support, Attack, Equivalent, type, says</t>
  </si>
  <si>
    <t>Support, Attack, Equivalent, says, year</t>
  </si>
  <si>
    <t>Support, Attack, Equivalent, type, says, year</t>
  </si>
  <si>
    <t xml:space="preserve"> </t>
  </si>
  <si>
    <t>MEAN =</t>
  </si>
  <si>
    <t>MAX =</t>
  </si>
  <si>
    <t>special/text</t>
  </si>
  <si>
    <t>special/text-year</t>
  </si>
  <si>
    <t>special/text-speaker</t>
  </si>
  <si>
    <t>special/text-claim+premise</t>
  </si>
  <si>
    <t>special/text-speaker-year</t>
  </si>
  <si>
    <t>special/text-claim+premise-speaker-year</t>
  </si>
  <si>
    <t>special/text+type</t>
  </si>
  <si>
    <t>special/text+type-year</t>
  </si>
  <si>
    <t>special/text+type-speaker</t>
  </si>
  <si>
    <t>special/text+type-speaker-year</t>
  </si>
  <si>
    <t>Experiment: training on all nodes in the graph but evaluation only on relevant nodes</t>
  </si>
  <si>
    <r>
      <rPr>
        <i/>
        <sz val="14"/>
        <color theme="1"/>
        <rFont val="Calibri (Corpo)"/>
      </rPr>
      <t xml:space="preserve">text + type </t>
    </r>
    <r>
      <rPr>
        <sz val="14"/>
        <color theme="1"/>
        <rFont val="Calibri (Corpo)"/>
      </rPr>
      <t>(claim/premise)</t>
    </r>
  </si>
  <si>
    <t>special/text-claim+premise-speaker</t>
  </si>
  <si>
    <t>special/text-claim+premise-year</t>
  </si>
  <si>
    <t>Experiment: training on all nodes in the graph but evaluation only on relevant nodes with pretrained embeddings</t>
  </si>
  <si>
    <t>Average All</t>
  </si>
  <si>
    <t>Average RP and RC</t>
  </si>
  <si>
    <t>Relation Prediction HITS@2</t>
  </si>
  <si>
    <t>Equivalent HITS@1</t>
  </si>
  <si>
    <t>Attack HITS@1</t>
  </si>
  <si>
    <t>Support HITS@1</t>
  </si>
  <si>
    <t>Are the models good or just biased?</t>
  </si>
  <si>
    <t>Are the models robust to noise?</t>
  </si>
  <si>
    <t>Noise</t>
  </si>
  <si>
    <t>Do models in the same family behave the same?</t>
  </si>
  <si>
    <t xml:space="preserve">Semantic Matching </t>
  </si>
  <si>
    <t>Deep Scoring Function</t>
  </si>
  <si>
    <t>TransH</t>
  </si>
  <si>
    <t>TransD</t>
  </si>
  <si>
    <t>RESCAL</t>
  </si>
  <si>
    <t>HolE</t>
  </si>
  <si>
    <t>ConvKB</t>
  </si>
  <si>
    <t>Standard Dev</t>
  </si>
  <si>
    <t>Weighted Average</t>
  </si>
  <si>
    <t>Average REL HITS@1</t>
  </si>
  <si>
    <t>pretrained/text</t>
  </si>
  <si>
    <t>pretrained/text-year</t>
  </si>
  <si>
    <t>pretrained/text-speaker</t>
  </si>
  <si>
    <t>pretrained/text-claim+premise</t>
  </si>
  <si>
    <t>pretrained/text-claim-year</t>
  </si>
  <si>
    <t>pretrained/text-claim-speaker</t>
  </si>
  <si>
    <t>pretrained/text-speaker-year</t>
  </si>
  <si>
    <t>pretrained/text-claim+premise-speaker-year</t>
  </si>
  <si>
    <t>pretrained/text+type</t>
  </si>
  <si>
    <t>pretrained/text+type-year</t>
  </si>
  <si>
    <t>pretrained/text+type-speaker</t>
  </si>
  <si>
    <t>pretrained/text+type-speaker-year</t>
  </si>
  <si>
    <t>MIN=</t>
  </si>
  <si>
    <t>Average LP, LD, TC</t>
  </si>
  <si>
    <t>TRIAL 1</t>
  </si>
  <si>
    <t>SUPPORT</t>
  </si>
  <si>
    <t>ATTACK</t>
  </si>
  <si>
    <t>EQUIVALENT</t>
  </si>
  <si>
    <t>COEFF</t>
  </si>
  <si>
    <t>TRIAL 2</t>
  </si>
  <si>
    <t>TRIAL 3</t>
  </si>
  <si>
    <t>Composition</t>
  </si>
  <si>
    <t>year: 59%, support: 34%, attack: 6%, equivalent: 1%</t>
  </si>
  <si>
    <t>MAX=</t>
  </si>
  <si>
    <t>MEAN=</t>
  </si>
  <si>
    <t>Average</t>
  </si>
  <si>
    <t>Weighted Average REL hits@1</t>
  </si>
  <si>
    <t>F1-Macro</t>
  </si>
  <si>
    <t>Features</t>
  </si>
  <si>
    <t>Distmult</t>
  </si>
  <si>
    <t>Roberta</t>
  </si>
  <si>
    <t>Deberta-v3</t>
  </si>
  <si>
    <t>predictions from roberta and distmult</t>
  </si>
  <si>
    <t>Type</t>
  </si>
  <si>
    <t>Models</t>
  </si>
  <si>
    <t>Single Model</t>
  </si>
  <si>
    <t>Two Specialized models</t>
  </si>
  <si>
    <r>
      <rPr>
        <i/>
        <sz val="16"/>
        <color theme="1"/>
        <rFont val="Calibri"/>
        <family val="2"/>
        <scheme val="minor"/>
      </rPr>
      <t>Distmult</t>
    </r>
    <r>
      <rPr>
        <sz val="16"/>
        <color theme="1"/>
        <rFont val="Calibri"/>
        <family val="2"/>
        <scheme val="minor"/>
      </rPr>
      <t xml:space="preserve"> classifies noRel/Rel and </t>
    </r>
    <r>
      <rPr>
        <i/>
        <sz val="16"/>
        <color theme="1"/>
        <rFont val="Calibri"/>
        <family val="2"/>
        <scheme val="minor"/>
      </rPr>
      <t>Roberta</t>
    </r>
    <r>
      <rPr>
        <sz val="16"/>
        <color theme="1"/>
        <rFont val="Calibri"/>
        <family val="2"/>
        <scheme val="minor"/>
      </rPr>
      <t xml:space="preserve"> classifies Support/Attack/Equivalent</t>
    </r>
  </si>
  <si>
    <r>
      <rPr>
        <i/>
        <sz val="16"/>
        <color theme="1"/>
        <rFont val="Calibri"/>
        <family val="2"/>
        <scheme val="minor"/>
      </rPr>
      <t>Distmult</t>
    </r>
    <r>
      <rPr>
        <sz val="16"/>
        <color theme="1"/>
        <rFont val="Calibri"/>
        <family val="2"/>
        <scheme val="minor"/>
      </rPr>
      <t xml:space="preserve"> classifies noRel/Rel and </t>
    </r>
    <r>
      <rPr>
        <i/>
        <sz val="16"/>
        <color theme="1"/>
        <rFont val="Calibri"/>
        <family val="2"/>
        <scheme val="minor"/>
      </rPr>
      <t>Deberta</t>
    </r>
    <r>
      <rPr>
        <sz val="16"/>
        <color theme="1"/>
        <rFont val="Calibri"/>
        <family val="2"/>
        <scheme val="minor"/>
      </rPr>
      <t xml:space="preserve"> classifies Support/Attack/Equivalent</t>
    </r>
  </si>
  <si>
    <r>
      <rPr>
        <i/>
        <sz val="16"/>
        <color theme="1"/>
        <rFont val="Calibri"/>
        <family val="2"/>
        <scheme val="minor"/>
      </rPr>
      <t>Roberta</t>
    </r>
    <r>
      <rPr>
        <sz val="16"/>
        <color theme="1"/>
        <rFont val="Calibri"/>
        <family val="2"/>
        <scheme val="minor"/>
      </rPr>
      <t xml:space="preserve"> classifies noRel/Rel and </t>
    </r>
    <r>
      <rPr>
        <i/>
        <sz val="16"/>
        <color theme="1"/>
        <rFont val="Calibri"/>
        <family val="2"/>
        <scheme val="minor"/>
      </rPr>
      <t>DistMult</t>
    </r>
    <r>
      <rPr>
        <sz val="16"/>
        <color theme="1"/>
        <rFont val="Calibri"/>
        <family val="2"/>
        <scheme val="minor"/>
      </rPr>
      <t xml:space="preserve"> classifies Support/Attack/Equivalent</t>
    </r>
  </si>
  <si>
    <r>
      <rPr>
        <i/>
        <sz val="16"/>
        <color theme="1"/>
        <rFont val="Calibri"/>
        <family val="2"/>
        <scheme val="minor"/>
      </rPr>
      <t>Deberta</t>
    </r>
    <r>
      <rPr>
        <sz val="16"/>
        <color theme="1"/>
        <rFont val="Calibri"/>
        <family val="2"/>
        <scheme val="minor"/>
      </rPr>
      <t xml:space="preserve"> classifies noRel/Rel and </t>
    </r>
    <r>
      <rPr>
        <i/>
        <sz val="16"/>
        <color theme="1"/>
        <rFont val="Calibri"/>
        <family val="2"/>
        <scheme val="minor"/>
      </rPr>
      <t>DistMult</t>
    </r>
    <r>
      <rPr>
        <sz val="16"/>
        <color theme="1"/>
        <rFont val="Calibri"/>
        <family val="2"/>
        <scheme val="minor"/>
      </rPr>
      <t xml:space="preserve"> classifies Support/Attack/Equivalent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</si>
  <si>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Random Forest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</si>
  <si>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Support Vector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</si>
  <si>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Decision Tree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</si>
  <si>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AdaBoost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</si>
  <si>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Gaussian Naive Bayes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</si>
  <si>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KNearest Neighbours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</si>
  <si>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MultiLayer Perceptron Classifier</t>
    </r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</si>
  <si>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>Gradient Boosting Classifier</t>
    </r>
  </si>
  <si>
    <t>Meta-Learner</t>
  </si>
  <si>
    <t>text and predictions from roberta and distmult</t>
  </si>
  <si>
    <r>
      <t xml:space="preserve">Roberta and DistMult predictions are evaluated by a </t>
    </r>
    <r>
      <rPr>
        <i/>
        <sz val="16"/>
        <color theme="1"/>
        <rFont val="Calibri"/>
        <family val="2"/>
        <scheme val="minor"/>
      </rPr>
      <t xml:space="preserve">CNN </t>
    </r>
    <r>
      <rPr>
        <sz val="16"/>
        <color theme="1"/>
        <rFont val="Calibri"/>
        <family val="2"/>
        <scheme val="minor"/>
      </rPr>
      <t>that also takes into account the textual features</t>
    </r>
  </si>
  <si>
    <t>Average of Models</t>
  </si>
  <si>
    <t>Roberta and DistMult are averaged by their F1-macro score</t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</si>
  <si>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Decision Tree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</si>
  <si>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Random Forest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</si>
  <si>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Support Vector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</si>
  <si>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AdaBoost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</si>
  <si>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Gaussian Naive Bayes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</si>
  <si>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KNearest Neighbours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</si>
  <si>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MultiLayer Perceptron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</si>
  <si>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>Gradient Boosting Classifier</t>
    </r>
  </si>
  <si>
    <r>
      <t xml:space="preserve">Deberta and DistMult predictions are evaluated by a </t>
    </r>
    <r>
      <rPr>
        <i/>
        <sz val="16"/>
        <color theme="1"/>
        <rFont val="Calibri"/>
        <family val="2"/>
        <scheme val="minor"/>
      </rPr>
      <t xml:space="preserve">CNN </t>
    </r>
    <r>
      <rPr>
        <sz val="16"/>
        <color theme="1"/>
        <rFont val="Calibri"/>
        <family val="2"/>
        <scheme val="minor"/>
      </rPr>
      <t>that also takes into account the textual features</t>
    </r>
  </si>
  <si>
    <t>Deberta and DistMult are averaged by their F1-macro score</t>
  </si>
  <si>
    <t>text and predictions from deberta and distmult</t>
  </si>
  <si>
    <t>predictions from deberta and distmult</t>
  </si>
  <si>
    <t>Translational</t>
  </si>
  <si>
    <t>support:17%, attack: 3%, equivalent:0.5%, type: 30%, speaker: 25,5%, year:24%</t>
  </si>
  <si>
    <t>support: 25%, attack: 4%, equivalent: 1%, speaker: 36%, year: 34%</t>
  </si>
  <si>
    <t>Average RC + RP</t>
  </si>
  <si>
    <t>Average RC +RP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</si>
</sst>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17" x14ac:knownFonts="1">
    <font>
      <sz val="11"/>
      <color theme="1"/>
      <name val="Calibri"/>
      <family val="2"/>
      <scheme val="minor"/>
    </font>
    <font>
      <b/>
      <sz val="16"/>
      <name val="Calibri (Corpo)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 (Corpo)"/>
    </font>
    <font>
      <i/>
      <sz val="14"/>
      <color theme="1"/>
      <name val="Calibri (Corpo)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Corpo)"/>
    </font>
    <font>
      <b/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 (Corpo)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3FF7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164" fontId="6" fillId="5" borderId="1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2" fontId="8" fillId="0" borderId="6" xfId="0" applyNumberFormat="1" applyFont="1" applyBorder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/>
    <xf numFmtId="0" fontId="1" fillId="10" borderId="1" xfId="0" applyFont="1" applyFill="1" applyBorder="1" applyAlignment="1">
      <alignment horizontal="center" vertical="center" wrapText="1"/>
    </xf>
    <xf numFmtId="164" fontId="1" fillId="10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9" fillId="11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164" fontId="7" fillId="13" borderId="1" xfId="0" applyNumberFormat="1" applyFont="1" applyFill="1" applyBorder="1" applyAlignment="1">
      <alignment horizontal="center" vertical="center" wrapText="1"/>
    </xf>
    <xf numFmtId="164" fontId="9" fillId="13" borderId="1" xfId="0" applyNumberFormat="1" applyFont="1" applyFill="1" applyBorder="1" applyAlignment="1">
      <alignment horizontal="center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165" fontId="13" fillId="2" borderId="7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Fill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0" fillId="0" borderId="0" xfId="0" applyFill="1"/>
    <xf numFmtId="164" fontId="16" fillId="10" borderId="1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164" fontId="16" fillId="9" borderId="1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3F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pane ySplit="1" topLeftCell="A2" activePane="bottomLeft" state="frozen"/>
      <selection pane="bottomLeft" activeCell="K8" sqref="K8"/>
    </sheetView>
  </sheetViews>
  <sheetFormatPr baseColWidth="10" defaultColWidth="22.33203125" defaultRowHeight="19" x14ac:dyDescent="0.2"/>
  <cols>
    <col min="1" max="1" width="29.83203125" style="5" customWidth="1"/>
    <col min="2" max="5" width="22.33203125" style="5"/>
    <col min="6" max="10" width="21.1640625" style="12" customWidth="1"/>
    <col min="11" max="16384" width="22.33203125" style="5"/>
  </cols>
  <sheetData>
    <row r="1" spans="1:10" s="3" customFormat="1" ht="74" customHeight="1" thickBot="1" x14ac:dyDescent="0.25">
      <c r="A1" s="1" t="s">
        <v>21</v>
      </c>
      <c r="B1" s="1" t="s">
        <v>25</v>
      </c>
      <c r="C1" s="1" t="s">
        <v>26</v>
      </c>
      <c r="D1" s="1" t="s">
        <v>22</v>
      </c>
      <c r="E1" s="1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</row>
    <row r="2" spans="1:10" ht="20" x14ac:dyDescent="0.2">
      <c r="A2" s="77" t="s">
        <v>17</v>
      </c>
      <c r="B2" s="78" t="s">
        <v>27</v>
      </c>
      <c r="C2" s="75" t="s">
        <v>28</v>
      </c>
      <c r="D2" s="5" t="s">
        <v>140</v>
      </c>
      <c r="E2" s="4" t="s">
        <v>7</v>
      </c>
      <c r="F2" s="6">
        <v>9.58015267E-2</v>
      </c>
      <c r="G2" s="6">
        <v>4.0076336000000002E-3</v>
      </c>
      <c r="H2" s="6">
        <v>0.35202135769999998</v>
      </c>
      <c r="I2" s="6">
        <v>0.48963928680000002</v>
      </c>
      <c r="J2" s="6">
        <v>0.49997623749999998</v>
      </c>
    </row>
    <row r="3" spans="1:10" ht="20" x14ac:dyDescent="0.2">
      <c r="A3" s="77"/>
      <c r="B3" s="78"/>
      <c r="C3" s="76"/>
      <c r="D3" s="5" t="s">
        <v>23</v>
      </c>
      <c r="E3" s="4" t="s">
        <v>8</v>
      </c>
      <c r="F3" s="6">
        <v>5.6297709899999999E-2</v>
      </c>
      <c r="G3" s="6">
        <v>5.5343511999999999E-3</v>
      </c>
      <c r="H3" s="6">
        <v>0.3169336384</v>
      </c>
      <c r="I3" s="6">
        <v>0.49448559489999999</v>
      </c>
      <c r="J3" s="6">
        <v>0.4774642597</v>
      </c>
    </row>
    <row r="4" spans="1:10" ht="20" x14ac:dyDescent="0.2">
      <c r="A4" s="77"/>
      <c r="B4" s="78"/>
      <c r="C4" s="76"/>
      <c r="D4" s="5" t="s">
        <v>24</v>
      </c>
      <c r="E4" s="4" t="s">
        <v>9</v>
      </c>
      <c r="F4" s="6">
        <v>8.2061068999999993E-3</v>
      </c>
      <c r="G4" s="6">
        <v>1.3358777999999999E-3</v>
      </c>
      <c r="H4" s="6">
        <v>0.26735316549999999</v>
      </c>
      <c r="I4" s="6">
        <v>0.32726961269999999</v>
      </c>
      <c r="J4" s="6">
        <v>0.4594811352</v>
      </c>
    </row>
    <row r="5" spans="1:10" x14ac:dyDescent="0.2">
      <c r="A5" s="4"/>
      <c r="B5" s="78"/>
      <c r="C5" s="7"/>
      <c r="E5" s="4"/>
      <c r="F5" s="6"/>
      <c r="G5" s="6"/>
      <c r="H5" s="6"/>
      <c r="I5" s="6"/>
      <c r="J5" s="6"/>
    </row>
    <row r="6" spans="1:10" ht="20" x14ac:dyDescent="0.2">
      <c r="A6" s="77" t="s">
        <v>18</v>
      </c>
      <c r="B6" s="78"/>
      <c r="C6" s="75" t="s">
        <v>29</v>
      </c>
      <c r="D6" s="5" t="s">
        <v>140</v>
      </c>
      <c r="E6" s="4" t="s">
        <v>7</v>
      </c>
      <c r="F6" s="6">
        <v>0.2680256365</v>
      </c>
      <c r="G6" s="6">
        <v>1.5310664099999999E-2</v>
      </c>
      <c r="H6" s="6">
        <v>0.7041651833</v>
      </c>
      <c r="I6" s="6">
        <v>0.89679861819999995</v>
      </c>
      <c r="J6" s="6">
        <v>0.33837476480000001</v>
      </c>
    </row>
    <row r="7" spans="1:10" ht="20" x14ac:dyDescent="0.2">
      <c r="A7" s="77"/>
      <c r="B7" s="78"/>
      <c r="C7" s="76"/>
      <c r="D7" s="5" t="s">
        <v>23</v>
      </c>
      <c r="E7" s="4" t="s">
        <v>8</v>
      </c>
      <c r="F7" s="6">
        <v>6.6761616999999997E-3</v>
      </c>
      <c r="G7" s="6">
        <v>1.9583407000000001E-3</v>
      </c>
      <c r="H7" s="6">
        <v>0.23549305800000001</v>
      </c>
      <c r="I7" s="6">
        <v>0.49961144740000002</v>
      </c>
      <c r="J7" s="6">
        <v>0.46473246909999999</v>
      </c>
    </row>
    <row r="8" spans="1:10" ht="20" x14ac:dyDescent="0.2">
      <c r="A8" s="77"/>
      <c r="B8" s="78"/>
      <c r="C8" s="76"/>
      <c r="D8" s="5" t="s">
        <v>24</v>
      </c>
      <c r="E8" s="4" t="s">
        <v>9</v>
      </c>
      <c r="F8" s="6">
        <v>6.0441516799999997E-2</v>
      </c>
      <c r="G8" s="6">
        <v>2.6704646999999998E-3</v>
      </c>
      <c r="H8" s="6">
        <v>0.31149875399999999</v>
      </c>
      <c r="I8" s="6">
        <v>0.71991911330000002</v>
      </c>
      <c r="J8" s="6">
        <v>0.42934743289999999</v>
      </c>
    </row>
    <row r="9" spans="1:10" x14ac:dyDescent="0.2">
      <c r="A9" s="4"/>
      <c r="B9" s="78"/>
      <c r="C9" s="7"/>
      <c r="E9" s="4"/>
      <c r="F9" s="6"/>
      <c r="G9" s="6"/>
      <c r="H9" s="6"/>
      <c r="I9" s="6"/>
      <c r="J9" s="6"/>
    </row>
    <row r="10" spans="1:10" ht="20" x14ac:dyDescent="0.2">
      <c r="A10" s="77" t="s">
        <v>13</v>
      </c>
      <c r="B10" s="78"/>
      <c r="C10" s="75" t="s">
        <v>30</v>
      </c>
      <c r="D10" s="5" t="s">
        <v>140</v>
      </c>
      <c r="E10" s="4" t="s">
        <v>7</v>
      </c>
      <c r="F10" s="6">
        <v>0.24435052609999999</v>
      </c>
      <c r="G10" s="6">
        <v>8.5647748900000001E-2</v>
      </c>
      <c r="H10" s="6">
        <v>0.71615795829999995</v>
      </c>
      <c r="I10" s="6">
        <v>0.82266938190000005</v>
      </c>
      <c r="J10" s="6">
        <v>0.36296189179999999</v>
      </c>
    </row>
    <row r="11" spans="1:10" ht="20" x14ac:dyDescent="0.2">
      <c r="A11" s="77"/>
      <c r="B11" s="78"/>
      <c r="C11" s="76"/>
      <c r="D11" s="5" t="s">
        <v>23</v>
      </c>
      <c r="E11" s="4" t="s">
        <v>8</v>
      </c>
      <c r="F11" s="6">
        <v>2.5875449999999999E-4</v>
      </c>
      <c r="G11" s="6">
        <v>6.9001209999999997E-4</v>
      </c>
      <c r="H11" s="6">
        <v>0.20865666490000001</v>
      </c>
      <c r="I11" s="6">
        <v>0.47079427410000002</v>
      </c>
      <c r="J11" s="6">
        <v>0.45838528540000001</v>
      </c>
    </row>
    <row r="12" spans="1:10" ht="20" x14ac:dyDescent="0.2">
      <c r="A12" s="77"/>
      <c r="B12" s="78"/>
      <c r="C12" s="76"/>
      <c r="D12" s="5" t="s">
        <v>24</v>
      </c>
      <c r="E12" s="4" t="s">
        <v>9</v>
      </c>
      <c r="F12" s="6">
        <v>0.1211833707</v>
      </c>
      <c r="G12" s="6">
        <v>3.1050543E-3</v>
      </c>
      <c r="H12" s="6">
        <v>0.9177444387</v>
      </c>
      <c r="I12" s="6">
        <v>0.69351546639999995</v>
      </c>
      <c r="J12" s="6">
        <v>0.44707171179999999</v>
      </c>
    </row>
    <row r="13" spans="1:10" x14ac:dyDescent="0.2">
      <c r="A13" s="4"/>
      <c r="B13" s="78"/>
      <c r="C13" s="7"/>
      <c r="E13" s="4"/>
      <c r="F13" s="6"/>
      <c r="G13" s="6"/>
      <c r="H13" s="6"/>
      <c r="I13" s="6"/>
      <c r="J13" s="6"/>
    </row>
    <row r="14" spans="1:10" ht="20" x14ac:dyDescent="0.2">
      <c r="A14" s="77" t="s">
        <v>10</v>
      </c>
      <c r="B14" s="78"/>
      <c r="C14" s="75" t="s">
        <v>31</v>
      </c>
      <c r="D14" s="5" t="s">
        <v>140</v>
      </c>
      <c r="E14" s="4" t="s">
        <v>7</v>
      </c>
      <c r="F14" s="6">
        <v>0.2936996684</v>
      </c>
      <c r="G14" s="6">
        <v>0.20685299230000001</v>
      </c>
      <c r="H14" s="6">
        <v>0.42509865819999998</v>
      </c>
      <c r="I14" s="6">
        <v>0.56583758049999999</v>
      </c>
      <c r="J14" s="6">
        <v>0.49178021</v>
      </c>
    </row>
    <row r="15" spans="1:10" ht="20" x14ac:dyDescent="0.2">
      <c r="A15" s="77"/>
      <c r="B15" s="78"/>
      <c r="C15" s="76"/>
      <c r="D15" s="5" t="s">
        <v>23</v>
      </c>
      <c r="E15" s="4" t="s">
        <v>8</v>
      </c>
      <c r="F15" s="6">
        <v>1.9343123300000001E-2</v>
      </c>
      <c r="G15" s="6">
        <v>1.5790305000000001E-3</v>
      </c>
      <c r="H15" s="6">
        <v>0.18153117599999999</v>
      </c>
      <c r="I15" s="6">
        <v>0.48632991129999997</v>
      </c>
      <c r="J15" s="6">
        <v>0.46439393150000002</v>
      </c>
    </row>
    <row r="16" spans="1:10" ht="20" x14ac:dyDescent="0.2">
      <c r="A16" s="77"/>
      <c r="B16" s="78"/>
      <c r="C16" s="76"/>
      <c r="D16" s="5" t="s">
        <v>24</v>
      </c>
      <c r="E16" s="4" t="s">
        <v>9</v>
      </c>
      <c r="F16" s="6">
        <v>3.9475760000000002E-4</v>
      </c>
      <c r="G16" s="6">
        <v>2.0527396999999998E-3</v>
      </c>
      <c r="H16" s="6">
        <v>0.4123125493</v>
      </c>
      <c r="I16" s="6">
        <v>0.67969558269999997</v>
      </c>
      <c r="J16" s="6">
        <v>0.38283168769999998</v>
      </c>
    </row>
    <row r="17" spans="1:10" x14ac:dyDescent="0.2">
      <c r="A17" s="4"/>
      <c r="B17" s="78"/>
      <c r="C17" s="7"/>
      <c r="E17" s="4"/>
      <c r="F17" s="6"/>
      <c r="G17" s="6"/>
      <c r="H17" s="6"/>
      <c r="I17" s="6"/>
      <c r="J17" s="6"/>
    </row>
    <row r="18" spans="1:10" ht="20" x14ac:dyDescent="0.2">
      <c r="A18" s="77" t="s">
        <v>14</v>
      </c>
      <c r="B18" s="78"/>
      <c r="C18" s="75" t="s">
        <v>32</v>
      </c>
      <c r="D18" s="5" t="s">
        <v>140</v>
      </c>
      <c r="E18" s="4" t="s">
        <v>7</v>
      </c>
      <c r="F18" s="6">
        <v>0.23478027870000001</v>
      </c>
      <c r="G18" s="6">
        <v>1.1789925E-2</v>
      </c>
      <c r="H18" s="6">
        <v>0.26931732930000002</v>
      </c>
      <c r="I18" s="6">
        <v>0.7128761857</v>
      </c>
      <c r="J18" s="6">
        <v>0.57085650089999995</v>
      </c>
    </row>
    <row r="19" spans="1:10" ht="20" x14ac:dyDescent="0.2">
      <c r="A19" s="77"/>
      <c r="B19" s="78"/>
      <c r="C19" s="76"/>
      <c r="D19" s="5" t="s">
        <v>23</v>
      </c>
      <c r="E19" s="4" t="s">
        <v>8</v>
      </c>
      <c r="F19" s="6">
        <v>3.9121115E-3</v>
      </c>
      <c r="G19" s="6">
        <v>9.1103959999999998E-4</v>
      </c>
      <c r="H19" s="6">
        <v>0.1325688565</v>
      </c>
      <c r="I19" s="6">
        <v>0.50017095369999998</v>
      </c>
      <c r="J19" s="6">
        <v>0.45467135809999998</v>
      </c>
    </row>
    <row r="20" spans="1:10" ht="20" x14ac:dyDescent="0.2">
      <c r="A20" s="77"/>
      <c r="B20" s="78"/>
      <c r="C20" s="76"/>
      <c r="D20" s="5" t="s">
        <v>24</v>
      </c>
      <c r="E20" s="4" t="s">
        <v>9</v>
      </c>
      <c r="F20" s="6">
        <v>3.2154340000000001E-4</v>
      </c>
      <c r="G20" s="6">
        <v>1.1789925E-3</v>
      </c>
      <c r="H20" s="6">
        <v>0.99978566069999997</v>
      </c>
      <c r="I20" s="6">
        <v>0.56909233280000004</v>
      </c>
      <c r="J20" s="6">
        <v>0.41671796290000002</v>
      </c>
    </row>
    <row r="21" spans="1:10" x14ac:dyDescent="0.2">
      <c r="A21" s="4"/>
      <c r="B21" s="78"/>
      <c r="C21" s="7"/>
      <c r="E21" s="4"/>
      <c r="F21" s="6"/>
      <c r="G21" s="6"/>
      <c r="H21" s="6"/>
      <c r="I21" s="6"/>
      <c r="J21" s="6"/>
    </row>
    <row r="22" spans="1:10" ht="20" x14ac:dyDescent="0.2">
      <c r="A22" s="77" t="s">
        <v>12</v>
      </c>
      <c r="B22" s="78"/>
      <c r="C22" s="75" t="s">
        <v>33</v>
      </c>
      <c r="D22" s="5" t="s">
        <v>140</v>
      </c>
      <c r="E22" s="4" t="s">
        <v>7</v>
      </c>
      <c r="F22" s="6">
        <v>0.34495268140000002</v>
      </c>
      <c r="G22" s="6">
        <v>0.26976866449999998</v>
      </c>
      <c r="H22" s="6">
        <v>0.475294365</v>
      </c>
      <c r="I22" s="6">
        <v>0.78049282519999996</v>
      </c>
      <c r="J22" s="6">
        <v>0.55451078300000001</v>
      </c>
    </row>
    <row r="23" spans="1:10" ht="20" x14ac:dyDescent="0.2">
      <c r="A23" s="77"/>
      <c r="B23" s="78"/>
      <c r="C23" s="76"/>
      <c r="D23" s="5" t="s">
        <v>23</v>
      </c>
      <c r="E23" s="4" t="s">
        <v>8</v>
      </c>
      <c r="F23" s="6">
        <v>2.7024185100000001E-2</v>
      </c>
      <c r="G23" s="6">
        <v>8.4121969999999995E-4</v>
      </c>
      <c r="H23" s="6">
        <v>0.36028174940000002</v>
      </c>
      <c r="I23" s="6">
        <v>0.61734490620000004</v>
      </c>
      <c r="J23" s="6">
        <v>0.5103893974</v>
      </c>
    </row>
    <row r="24" spans="1:10" ht="20" x14ac:dyDescent="0.2">
      <c r="A24" s="77"/>
      <c r="B24" s="78"/>
      <c r="C24" s="76"/>
      <c r="D24" s="5" t="s">
        <v>24</v>
      </c>
      <c r="E24" s="4" t="s">
        <v>9</v>
      </c>
      <c r="F24" s="6">
        <v>3.3123028399999997E-2</v>
      </c>
      <c r="G24" s="6">
        <v>7.6235542000000003E-3</v>
      </c>
      <c r="H24" s="6">
        <v>4.0370058899999998E-2</v>
      </c>
      <c r="I24" s="6">
        <v>0.73800232369999996</v>
      </c>
      <c r="J24" s="6">
        <v>0.30991946269999998</v>
      </c>
    </row>
    <row r="25" spans="1:10" x14ac:dyDescent="0.2">
      <c r="A25" s="4"/>
      <c r="B25" s="78"/>
      <c r="C25" s="7"/>
      <c r="E25" s="4"/>
      <c r="F25" s="6"/>
      <c r="G25" s="6"/>
      <c r="H25" s="6"/>
      <c r="I25" s="6"/>
      <c r="J25" s="6"/>
    </row>
    <row r="26" spans="1:10" ht="20" x14ac:dyDescent="0.2">
      <c r="A26" s="77" t="s">
        <v>15</v>
      </c>
      <c r="B26" s="78"/>
      <c r="C26" s="75" t="s">
        <v>34</v>
      </c>
      <c r="D26" s="8" t="s">
        <v>140</v>
      </c>
      <c r="E26" s="9" t="s">
        <v>7</v>
      </c>
      <c r="F26" s="10">
        <v>0.36888787810000001</v>
      </c>
      <c r="G26" s="10">
        <v>2.8428473900000001E-2</v>
      </c>
      <c r="H26" s="10">
        <v>0.62694712909999994</v>
      </c>
      <c r="I26" s="10">
        <v>0.93170479559999997</v>
      </c>
      <c r="J26" s="10">
        <v>0.60099030450000002</v>
      </c>
    </row>
    <row r="27" spans="1:10" ht="20" x14ac:dyDescent="0.2">
      <c r="A27" s="77"/>
      <c r="B27" s="78"/>
      <c r="C27" s="76"/>
      <c r="D27" s="5" t="s">
        <v>23</v>
      </c>
      <c r="E27" s="4" t="s">
        <v>8</v>
      </c>
      <c r="F27" s="6">
        <v>3.1271320999999999E-3</v>
      </c>
      <c r="G27" s="6">
        <v>1.7625652999999999E-3</v>
      </c>
      <c r="H27" s="6">
        <v>0.16861853330000001</v>
      </c>
      <c r="I27" s="6">
        <v>0.48311814609999998</v>
      </c>
      <c r="J27" s="6">
        <v>0.45434208450000002</v>
      </c>
    </row>
    <row r="28" spans="1:10" ht="20" x14ac:dyDescent="0.2">
      <c r="A28" s="77"/>
      <c r="B28" s="78"/>
      <c r="C28" s="76"/>
      <c r="D28" s="5" t="s">
        <v>24</v>
      </c>
      <c r="E28" s="4" t="s">
        <v>9</v>
      </c>
      <c r="F28" s="6">
        <v>4.2074141000000001E-3</v>
      </c>
      <c r="G28" s="6">
        <v>1.1371389999999999E-3</v>
      </c>
      <c r="H28" s="6">
        <v>0.38783399660000001</v>
      </c>
      <c r="I28" s="6">
        <v>0.78208403780000002</v>
      </c>
      <c r="J28" s="6">
        <v>0.3520815081</v>
      </c>
    </row>
    <row r="29" spans="1:10" x14ac:dyDescent="0.2">
      <c r="A29" s="4"/>
      <c r="B29" s="78"/>
      <c r="C29" s="7"/>
      <c r="E29" s="4"/>
      <c r="F29" s="6"/>
      <c r="G29" s="6"/>
      <c r="H29" s="6"/>
      <c r="I29" s="6"/>
      <c r="J29" s="6"/>
    </row>
    <row r="30" spans="1:10" ht="20" x14ac:dyDescent="0.2">
      <c r="A30" s="77" t="s">
        <v>11</v>
      </c>
      <c r="B30" s="78"/>
      <c r="C30" s="75" t="s">
        <v>35</v>
      </c>
      <c r="D30" s="8" t="s">
        <v>140</v>
      </c>
      <c r="E30" s="9" t="s">
        <v>7</v>
      </c>
      <c r="F30" s="10">
        <v>0.33673143039999998</v>
      </c>
      <c r="G30" s="10">
        <v>0.29987207170000002</v>
      </c>
      <c r="H30" s="10">
        <v>0.6898784778</v>
      </c>
      <c r="I30" s="10">
        <v>0.86524650000000003</v>
      </c>
      <c r="J30" s="10">
        <v>0.62325757849999996</v>
      </c>
    </row>
    <row r="31" spans="1:10" ht="20" x14ac:dyDescent="0.2">
      <c r="A31" s="77"/>
      <c r="B31" s="78"/>
      <c r="C31" s="76"/>
      <c r="D31" s="5" t="s">
        <v>23</v>
      </c>
      <c r="E31" s="4" t="s">
        <v>8</v>
      </c>
      <c r="F31" s="6">
        <v>0.25213880230000002</v>
      </c>
      <c r="G31" s="6">
        <v>8.3952989999999997E-4</v>
      </c>
      <c r="H31" s="6">
        <v>0.56747681480000001</v>
      </c>
      <c r="I31" s="6">
        <v>0.75965223319999997</v>
      </c>
      <c r="J31" s="6">
        <v>0.66748238380000002</v>
      </c>
    </row>
    <row r="32" spans="1:10" ht="20" x14ac:dyDescent="0.2">
      <c r="A32" s="77"/>
      <c r="B32" s="78"/>
      <c r="C32" s="76"/>
      <c r="D32" s="8" t="s">
        <v>24</v>
      </c>
      <c r="E32" s="9" t="s">
        <v>9</v>
      </c>
      <c r="F32" s="10">
        <v>2.2787239000000002E-3</v>
      </c>
      <c r="G32" s="10">
        <v>1.2792836E-3</v>
      </c>
      <c r="H32" s="10">
        <v>1</v>
      </c>
      <c r="I32" s="10">
        <v>0.32831014139999998</v>
      </c>
      <c r="J32" s="10">
        <v>0.49184598489999998</v>
      </c>
    </row>
    <row r="33" spans="1:10" x14ac:dyDescent="0.2">
      <c r="A33" s="4"/>
      <c r="B33" s="4"/>
      <c r="C33" s="4"/>
      <c r="E33" s="4"/>
      <c r="F33" s="6"/>
      <c r="G33" s="6"/>
      <c r="H33" s="6"/>
      <c r="I33" s="6"/>
      <c r="J33" s="6"/>
    </row>
    <row r="34" spans="1:10" ht="20" x14ac:dyDescent="0.2">
      <c r="A34" s="77" t="s">
        <v>19</v>
      </c>
      <c r="B34" s="77" t="s">
        <v>50</v>
      </c>
      <c r="C34" s="75" t="s">
        <v>28</v>
      </c>
      <c r="D34" s="5" t="s">
        <v>140</v>
      </c>
      <c r="E34" s="4" t="s">
        <v>7</v>
      </c>
      <c r="F34" s="6">
        <v>6.1450381700000001E-2</v>
      </c>
      <c r="G34" s="6">
        <v>3.8167939000000001E-3</v>
      </c>
      <c r="H34" s="6">
        <v>0.33269817070000002</v>
      </c>
      <c r="I34" s="6">
        <v>0.49707423579999999</v>
      </c>
      <c r="J34" s="6">
        <v>0.50055261719999999</v>
      </c>
    </row>
    <row r="35" spans="1:10" ht="20" x14ac:dyDescent="0.2">
      <c r="A35" s="77"/>
      <c r="B35" s="77"/>
      <c r="C35" s="76"/>
      <c r="D35" s="5" t="s">
        <v>23</v>
      </c>
      <c r="E35" s="4" t="s">
        <v>8</v>
      </c>
      <c r="F35" s="6">
        <v>4.2938931299999997E-2</v>
      </c>
      <c r="G35" s="6">
        <v>1.9083969999999999E-4</v>
      </c>
      <c r="H35" s="6">
        <v>0.20884146340000001</v>
      </c>
      <c r="I35" s="6">
        <v>0.44347345649999997</v>
      </c>
      <c r="J35" s="6">
        <v>0.46894775529999999</v>
      </c>
    </row>
    <row r="36" spans="1:10" ht="20" x14ac:dyDescent="0.2">
      <c r="A36" s="77"/>
      <c r="B36" s="77"/>
      <c r="C36" s="76"/>
      <c r="D36" s="5" t="s">
        <v>24</v>
      </c>
      <c r="E36" s="4" t="s">
        <v>9</v>
      </c>
      <c r="F36" s="6">
        <v>4.0076335900000003E-2</v>
      </c>
      <c r="G36" s="6">
        <v>1.6793893099999999E-2</v>
      </c>
      <c r="H36" s="6">
        <v>0.24961890240000001</v>
      </c>
      <c r="I36" s="6">
        <v>0.70903901039999995</v>
      </c>
      <c r="J36" s="6">
        <v>0.4123713255</v>
      </c>
    </row>
    <row r="37" spans="1:10" x14ac:dyDescent="0.2">
      <c r="A37" s="4"/>
      <c r="B37" s="77"/>
      <c r="C37" s="7"/>
      <c r="E37" s="4"/>
      <c r="F37" s="6"/>
      <c r="G37" s="6"/>
      <c r="H37" s="6"/>
      <c r="I37" s="6"/>
      <c r="J37" s="6"/>
    </row>
    <row r="38" spans="1:10" ht="20" x14ac:dyDescent="0.2">
      <c r="A38" s="77" t="s">
        <v>20</v>
      </c>
      <c r="B38" s="77"/>
      <c r="C38" s="75" t="s">
        <v>29</v>
      </c>
      <c r="D38" s="5" t="s">
        <v>140</v>
      </c>
      <c r="E38" s="4" t="s">
        <v>7</v>
      </c>
      <c r="F38" s="6">
        <v>0.2656225405</v>
      </c>
      <c r="G38" s="6">
        <v>2.8805288799999999E-2</v>
      </c>
      <c r="H38" s="6">
        <v>0.64332913780000001</v>
      </c>
      <c r="I38" s="6">
        <v>0.8632216238</v>
      </c>
      <c r="J38" s="6">
        <v>0.37429013350000001</v>
      </c>
    </row>
    <row r="39" spans="1:10" ht="20" x14ac:dyDescent="0.2">
      <c r="A39" s="77"/>
      <c r="B39" s="77"/>
      <c r="C39" s="76"/>
      <c r="D39" s="8" t="s">
        <v>23</v>
      </c>
      <c r="E39" s="9" t="s">
        <v>8</v>
      </c>
      <c r="F39" s="10">
        <v>0.18196127810000001</v>
      </c>
      <c r="G39" s="10">
        <v>1.9990555600000001E-2</v>
      </c>
      <c r="H39" s="10">
        <v>0.66960352420000002</v>
      </c>
      <c r="I39" s="10">
        <v>0.86284930189999998</v>
      </c>
      <c r="J39" s="10">
        <v>0.73837189619999999</v>
      </c>
    </row>
    <row r="40" spans="1:10" ht="20" x14ac:dyDescent="0.2">
      <c r="A40" s="77"/>
      <c r="B40" s="77"/>
      <c r="C40" s="76"/>
      <c r="D40" s="5" t="s">
        <v>24</v>
      </c>
      <c r="E40" s="4" t="s">
        <v>9</v>
      </c>
      <c r="F40" s="6">
        <v>5.4698567599999998E-2</v>
      </c>
      <c r="G40" s="6">
        <v>8.6573270000000005E-4</v>
      </c>
      <c r="H40" s="6">
        <v>0.31167400880000001</v>
      </c>
      <c r="I40" s="6">
        <v>0.71238779330000002</v>
      </c>
      <c r="J40" s="6">
        <v>0.41563923089999999</v>
      </c>
    </row>
    <row r="41" spans="1:10" x14ac:dyDescent="0.2">
      <c r="A41" s="4"/>
      <c r="B41" s="77"/>
      <c r="C41" s="7"/>
      <c r="E41" s="4"/>
      <c r="F41" s="6"/>
      <c r="G41" s="6"/>
      <c r="H41" s="6"/>
      <c r="I41" s="6"/>
      <c r="J41" s="6"/>
    </row>
    <row r="42" spans="1:10" ht="20" x14ac:dyDescent="0.2">
      <c r="A42" s="77" t="s">
        <v>6</v>
      </c>
      <c r="B42" s="77"/>
      <c r="C42" s="75" t="s">
        <v>30</v>
      </c>
      <c r="D42" s="5" t="s">
        <v>140</v>
      </c>
      <c r="E42" s="4" t="s">
        <v>7</v>
      </c>
      <c r="F42" s="6">
        <v>0.26313761749999998</v>
      </c>
      <c r="G42" s="6">
        <v>5.0855294000000002E-3</v>
      </c>
      <c r="H42" s="6">
        <v>0.70563770790000002</v>
      </c>
      <c r="I42" s="6">
        <v>0.85565188420000005</v>
      </c>
      <c r="J42" s="6">
        <v>0.64172259359999995</v>
      </c>
    </row>
    <row r="43" spans="1:10" ht="20" x14ac:dyDescent="0.2">
      <c r="A43" s="77"/>
      <c r="B43" s="77"/>
      <c r="C43" s="76"/>
      <c r="D43" s="5" t="s">
        <v>23</v>
      </c>
      <c r="E43" s="4" t="s">
        <v>8</v>
      </c>
      <c r="F43" s="6">
        <v>1.0787487000000001E-3</v>
      </c>
      <c r="G43" s="6">
        <v>1.3099091E-3</v>
      </c>
      <c r="H43" s="6">
        <v>0.17174984600000001</v>
      </c>
      <c r="I43" s="6">
        <v>0.49771189119999998</v>
      </c>
      <c r="J43" s="6">
        <v>0.46921686530000001</v>
      </c>
    </row>
    <row r="44" spans="1:10" ht="20" x14ac:dyDescent="0.2">
      <c r="A44" s="77"/>
      <c r="B44" s="77"/>
      <c r="C44" s="76"/>
      <c r="D44" s="5" t="s">
        <v>24</v>
      </c>
      <c r="E44" s="4" t="s">
        <v>9</v>
      </c>
      <c r="F44" s="6">
        <v>1.6643550600000001E-2</v>
      </c>
      <c r="G44" s="6">
        <v>2.9280320000000001E-3</v>
      </c>
      <c r="H44" s="6">
        <v>0.404189772</v>
      </c>
      <c r="I44" s="6">
        <v>0.7180565082</v>
      </c>
      <c r="J44" s="6">
        <v>0.41127963200000001</v>
      </c>
    </row>
    <row r="45" spans="1:10" x14ac:dyDescent="0.2">
      <c r="A45" s="4"/>
      <c r="B45" s="77"/>
      <c r="C45" s="7"/>
      <c r="E45" s="4"/>
      <c r="F45" s="6"/>
      <c r="G45" s="6"/>
      <c r="H45" s="6"/>
      <c r="I45" s="6"/>
      <c r="J45" s="6"/>
    </row>
    <row r="46" spans="1:10" ht="20" x14ac:dyDescent="0.2">
      <c r="A46" s="77" t="s">
        <v>16</v>
      </c>
      <c r="B46" s="77"/>
      <c r="C46" s="75" t="s">
        <v>34</v>
      </c>
      <c r="D46" s="5" t="s">
        <v>140</v>
      </c>
      <c r="E46" s="4" t="s">
        <v>7</v>
      </c>
      <c r="F46" s="6">
        <v>0.33692036780000001</v>
      </c>
      <c r="G46" s="6">
        <v>0.1694873801</v>
      </c>
      <c r="H46" s="6">
        <v>0.51398669799999996</v>
      </c>
      <c r="I46" s="6">
        <v>0.91656626699999999</v>
      </c>
      <c r="J46" s="6">
        <v>0.32594344520000001</v>
      </c>
    </row>
    <row r="47" spans="1:10" ht="20" x14ac:dyDescent="0.2">
      <c r="A47" s="77"/>
      <c r="B47" s="77"/>
      <c r="C47" s="76"/>
      <c r="D47" s="5" t="s">
        <v>23</v>
      </c>
      <c r="E47" s="4" t="s">
        <v>8</v>
      </c>
      <c r="F47" s="6">
        <v>1.2717668E-3</v>
      </c>
      <c r="G47" s="6">
        <v>3.913128E-4</v>
      </c>
      <c r="H47" s="6">
        <v>0.20921361499999999</v>
      </c>
      <c r="I47" s="6">
        <v>0.49602422260000001</v>
      </c>
      <c r="J47" s="6">
        <v>0.45218056449999999</v>
      </c>
    </row>
    <row r="48" spans="1:10" ht="20" x14ac:dyDescent="0.2">
      <c r="A48" s="77"/>
      <c r="B48" s="77"/>
      <c r="C48" s="76"/>
      <c r="D48" s="5" t="s">
        <v>24</v>
      </c>
      <c r="E48" s="4" t="s">
        <v>9</v>
      </c>
      <c r="F48" s="6">
        <v>1.956564E-4</v>
      </c>
      <c r="G48" s="6">
        <v>3.0326746000000002E-3</v>
      </c>
      <c r="H48" s="6">
        <v>0.92957746480000003</v>
      </c>
      <c r="I48" s="6">
        <v>0.39930867390000002</v>
      </c>
      <c r="J48" s="6">
        <v>0.59715152140000005</v>
      </c>
    </row>
    <row r="51" spans="4:10" x14ac:dyDescent="0.2">
      <c r="E51" s="8" t="s">
        <v>38</v>
      </c>
      <c r="F51" s="11">
        <f>MAX(F2:F48)</f>
        <v>0.36888787810000001</v>
      </c>
      <c r="G51" s="11">
        <f>MAX(G2:G48)</f>
        <v>0.29987207170000002</v>
      </c>
      <c r="H51" s="11">
        <f>MAX(H2:H48)</f>
        <v>1</v>
      </c>
      <c r="I51" s="11">
        <f>MAX(I2:I48)</f>
        <v>0.93170479559999997</v>
      </c>
      <c r="J51" s="11">
        <f>MAX(J2:J48)</f>
        <v>0.73837189619999999</v>
      </c>
    </row>
    <row r="52" spans="4:10" x14ac:dyDescent="0.2">
      <c r="D52" s="5" t="s">
        <v>36</v>
      </c>
      <c r="E52" s="8" t="s">
        <v>37</v>
      </c>
      <c r="F52" s="11">
        <f>AVERAGE(F2:F48)</f>
        <v>0.11255999476111112</v>
      </c>
      <c r="G52" s="11">
        <f>AVERAGE(G2:G48)</f>
        <v>3.3579869738888893E-2</v>
      </c>
      <c r="H52" s="11">
        <f>AVERAGE(H2:H48)</f>
        <v>0.44770721901944444</v>
      </c>
      <c r="I52" s="11">
        <f>AVERAGE(I2:I48)</f>
        <v>0.64405628112222224</v>
      </c>
      <c r="J52" s="11">
        <f>AVERAGE(J2:J48)</f>
        <v>0.47476483075833337</v>
      </c>
    </row>
  </sheetData>
  <mergeCells count="26">
    <mergeCell ref="A22:A24"/>
    <mergeCell ref="A10:A12"/>
    <mergeCell ref="C42:C44"/>
    <mergeCell ref="C46:C48"/>
    <mergeCell ref="C18:C20"/>
    <mergeCell ref="C22:C24"/>
    <mergeCell ref="C26:C28"/>
    <mergeCell ref="C30:C32"/>
    <mergeCell ref="C34:C36"/>
    <mergeCell ref="C38:C40"/>
    <mergeCell ref="C2:C4"/>
    <mergeCell ref="C6:C8"/>
    <mergeCell ref="C10:C12"/>
    <mergeCell ref="C14:C16"/>
    <mergeCell ref="A38:A40"/>
    <mergeCell ref="B2:B32"/>
    <mergeCell ref="B34:B48"/>
    <mergeCell ref="A18:A20"/>
    <mergeCell ref="A26:A28"/>
    <mergeCell ref="A46:A48"/>
    <mergeCell ref="A2:A4"/>
    <mergeCell ref="A6:A8"/>
    <mergeCell ref="A34:A36"/>
    <mergeCell ref="A42:A44"/>
    <mergeCell ref="A14:A16"/>
    <mergeCell ref="A30: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3BF7-06C8-D44A-B837-48D3A4A0787B}">
  <dimension ref="A1:J52"/>
  <sheetViews>
    <sheetView workbookViewId="0">
      <selection activeCell="D14" sqref="D14"/>
    </sheetView>
  </sheetViews>
  <sheetFormatPr baseColWidth="10" defaultColWidth="8.83203125" defaultRowHeight="19" x14ac:dyDescent="0.2"/>
  <cols>
    <col min="1" max="1" width="40.1640625" style="5" bestFit="1" customWidth="1"/>
    <col min="2" max="2" width="20" style="5" customWidth="1"/>
    <col min="3" max="3" width="43.33203125" style="5" bestFit="1" customWidth="1"/>
    <col min="4" max="4" width="19.5" style="5" bestFit="1" customWidth="1"/>
    <col min="5" max="5" width="16.6640625" style="5" customWidth="1"/>
    <col min="6" max="10" width="21.33203125" style="12" customWidth="1"/>
    <col min="11" max="16384" width="8.83203125" style="5"/>
  </cols>
  <sheetData>
    <row r="1" spans="1:10" s="15" customFormat="1" ht="67" thickBot="1" x14ac:dyDescent="0.25">
      <c r="A1" s="13" t="s">
        <v>49</v>
      </c>
      <c r="B1" s="13" t="s">
        <v>25</v>
      </c>
      <c r="C1" s="13" t="s">
        <v>26</v>
      </c>
      <c r="D1" s="13" t="s">
        <v>22</v>
      </c>
      <c r="E1" s="13" t="s">
        <v>0</v>
      </c>
      <c r="F1" s="14" t="s">
        <v>1</v>
      </c>
      <c r="G1" s="14" t="s">
        <v>2</v>
      </c>
      <c r="H1" s="14" t="s">
        <v>3</v>
      </c>
      <c r="I1" s="14" t="s">
        <v>4</v>
      </c>
      <c r="J1" s="14" t="s">
        <v>5</v>
      </c>
    </row>
    <row r="2" spans="1:10" ht="20" x14ac:dyDescent="0.2">
      <c r="A2" s="77" t="s">
        <v>39</v>
      </c>
      <c r="B2" s="78" t="s">
        <v>27</v>
      </c>
      <c r="C2" s="75" t="s">
        <v>28</v>
      </c>
      <c r="D2" s="5" t="s">
        <v>140</v>
      </c>
      <c r="E2" s="4" t="s">
        <v>7</v>
      </c>
      <c r="F2" s="19">
        <v>8.9244851299999997E-2</v>
      </c>
      <c r="G2" s="19">
        <v>4.0045766999999999E-3</v>
      </c>
      <c r="H2" s="19">
        <v>0.52135774219999997</v>
      </c>
      <c r="I2" s="19">
        <v>0.61007338850000004</v>
      </c>
      <c r="J2" s="19">
        <v>0.55770218569999996</v>
      </c>
    </row>
    <row r="3" spans="1:10" ht="20" x14ac:dyDescent="0.2">
      <c r="A3" s="77"/>
      <c r="B3" s="78"/>
      <c r="C3" s="76"/>
      <c r="D3" s="5" t="s">
        <v>23</v>
      </c>
      <c r="E3" s="4" t="s">
        <v>8</v>
      </c>
      <c r="F3" s="19">
        <v>9.7254005000000001E-3</v>
      </c>
      <c r="G3" s="19">
        <v>4.9580472999999998E-3</v>
      </c>
      <c r="H3" s="19">
        <v>0.27765064839999998</v>
      </c>
      <c r="I3" s="19">
        <v>0.28339461329999999</v>
      </c>
      <c r="J3" s="19">
        <v>0.22860687900000001</v>
      </c>
    </row>
    <row r="4" spans="1:10" ht="20" x14ac:dyDescent="0.2">
      <c r="A4" s="77"/>
      <c r="B4" s="78"/>
      <c r="C4" s="76"/>
      <c r="D4" s="5" t="s">
        <v>24</v>
      </c>
      <c r="E4" s="4" t="s">
        <v>9</v>
      </c>
      <c r="F4" s="19">
        <v>2.6315789499999999E-2</v>
      </c>
      <c r="G4" s="19">
        <v>2.2883295000000001E-3</v>
      </c>
      <c r="H4" s="19">
        <v>0.26201373</v>
      </c>
      <c r="I4" s="19">
        <v>0.4021947038</v>
      </c>
      <c r="J4" s="19">
        <v>0.41155579170000001</v>
      </c>
    </row>
    <row r="5" spans="1:10" x14ac:dyDescent="0.2">
      <c r="A5" s="4"/>
      <c r="B5" s="78"/>
      <c r="C5" s="7"/>
      <c r="E5" s="4"/>
      <c r="F5" s="6"/>
      <c r="G5" s="6"/>
      <c r="H5" s="6"/>
      <c r="I5" s="6"/>
      <c r="J5" s="6"/>
    </row>
    <row r="6" spans="1:10" ht="20" x14ac:dyDescent="0.2">
      <c r="A6" s="77" t="s">
        <v>40</v>
      </c>
      <c r="B6" s="78"/>
      <c r="C6" s="75" t="s">
        <v>29</v>
      </c>
      <c r="D6" s="5" t="s">
        <v>140</v>
      </c>
      <c r="E6" s="4" t="s">
        <v>7</v>
      </c>
      <c r="F6" s="19">
        <v>2.9176201400000001E-2</v>
      </c>
      <c r="G6" s="19">
        <v>1.1823035900000001E-2</v>
      </c>
      <c r="H6" s="19">
        <v>0.35278413419999999</v>
      </c>
      <c r="I6" s="19">
        <v>0.90289591940000002</v>
      </c>
      <c r="J6" s="19">
        <v>0.38437252039999997</v>
      </c>
    </row>
    <row r="7" spans="1:10" ht="20" x14ac:dyDescent="0.2">
      <c r="A7" s="77"/>
      <c r="B7" s="78"/>
      <c r="C7" s="76"/>
      <c r="D7" s="5" t="s">
        <v>23</v>
      </c>
      <c r="E7" s="4" t="s">
        <v>8</v>
      </c>
      <c r="F7" s="19">
        <v>4.78642258E-2</v>
      </c>
      <c r="G7" s="19">
        <v>5.7208238000000002E-3</v>
      </c>
      <c r="H7" s="19">
        <v>0.56445461480000003</v>
      </c>
      <c r="I7" s="19">
        <v>0.86838170120000002</v>
      </c>
      <c r="J7" s="19">
        <v>0.43012224199999999</v>
      </c>
    </row>
    <row r="8" spans="1:10" ht="20" x14ac:dyDescent="0.2">
      <c r="A8" s="77"/>
      <c r="B8" s="78"/>
      <c r="C8" s="76"/>
      <c r="D8" s="8" t="s">
        <v>24</v>
      </c>
      <c r="E8" s="9" t="s">
        <v>9</v>
      </c>
      <c r="F8" s="20">
        <v>3.8138830000000002E-4</v>
      </c>
      <c r="G8" s="20">
        <v>3.4324943E-3</v>
      </c>
      <c r="H8" s="20">
        <v>1</v>
      </c>
      <c r="I8" s="20">
        <v>0.4664562666</v>
      </c>
      <c r="J8" s="20">
        <v>0.47061019659999997</v>
      </c>
    </row>
    <row r="9" spans="1:10" x14ac:dyDescent="0.2">
      <c r="A9" s="4"/>
      <c r="B9" s="78"/>
      <c r="C9" s="7"/>
      <c r="E9" s="4"/>
      <c r="F9" s="6"/>
      <c r="G9" s="6"/>
      <c r="H9" s="6"/>
      <c r="I9" s="6"/>
      <c r="J9" s="6"/>
    </row>
    <row r="10" spans="1:10" ht="20" x14ac:dyDescent="0.2">
      <c r="A10" s="77" t="s">
        <v>41</v>
      </c>
      <c r="B10" s="78"/>
      <c r="C10" s="75" t="s">
        <v>30</v>
      </c>
      <c r="D10" s="5" t="s">
        <v>140</v>
      </c>
      <c r="E10" s="4" t="s">
        <v>7</v>
      </c>
      <c r="F10" s="19">
        <v>6.9031273800000001E-2</v>
      </c>
      <c r="G10" s="19">
        <v>1.25858124E-2</v>
      </c>
      <c r="H10" s="19">
        <v>0.4755911518</v>
      </c>
      <c r="I10" s="19">
        <v>0.78189336310000002</v>
      </c>
      <c r="J10" s="19">
        <v>0.45351961439999999</v>
      </c>
    </row>
    <row r="11" spans="1:10" ht="20" x14ac:dyDescent="0.2">
      <c r="A11" s="77"/>
      <c r="B11" s="78"/>
      <c r="C11" s="76"/>
      <c r="D11" s="5" t="s">
        <v>23</v>
      </c>
      <c r="E11" s="4" t="s">
        <v>8</v>
      </c>
      <c r="F11" s="19">
        <v>3.8138830000000002E-4</v>
      </c>
      <c r="G11" s="19">
        <v>4.5766590000000003E-3</v>
      </c>
      <c r="H11" s="19">
        <v>0.28794813120000001</v>
      </c>
      <c r="I11" s="19">
        <v>0.50441556720000003</v>
      </c>
      <c r="J11" s="19">
        <v>0.49009279519999999</v>
      </c>
    </row>
    <row r="12" spans="1:10" ht="20" x14ac:dyDescent="0.2">
      <c r="A12" s="77"/>
      <c r="B12" s="78"/>
      <c r="C12" s="76"/>
      <c r="D12" s="8" t="s">
        <v>24</v>
      </c>
      <c r="E12" s="9" t="s">
        <v>9</v>
      </c>
      <c r="F12" s="20">
        <v>3.8138830000000002E-4</v>
      </c>
      <c r="G12" s="20">
        <v>4.0045766999999999E-3</v>
      </c>
      <c r="H12" s="20">
        <v>1</v>
      </c>
      <c r="I12" s="20">
        <v>0.47810245969999998</v>
      </c>
      <c r="J12" s="20">
        <v>0.48136801289999998</v>
      </c>
    </row>
    <row r="13" spans="1:10" x14ac:dyDescent="0.2">
      <c r="A13" s="4"/>
      <c r="B13" s="78"/>
      <c r="C13" s="7"/>
      <c r="E13" s="4"/>
      <c r="F13" s="6"/>
      <c r="G13" s="6"/>
      <c r="H13" s="6"/>
      <c r="I13" s="6"/>
      <c r="J13" s="6"/>
    </row>
    <row r="14" spans="1:10" ht="20" x14ac:dyDescent="0.2">
      <c r="A14" s="77" t="s">
        <v>42</v>
      </c>
      <c r="B14" s="78"/>
      <c r="C14" s="75" t="s">
        <v>31</v>
      </c>
      <c r="D14" s="5" t="s">
        <v>140</v>
      </c>
      <c r="E14" s="4" t="s">
        <v>7</v>
      </c>
      <c r="F14" s="19">
        <v>6.9984744500000001E-2</v>
      </c>
      <c r="G14" s="19">
        <v>1.2395118199999999E-2</v>
      </c>
      <c r="H14" s="19">
        <v>0.38062547670000002</v>
      </c>
      <c r="I14" s="19">
        <v>0.57288055419999995</v>
      </c>
      <c r="J14" s="19">
        <v>0.49366858590000001</v>
      </c>
    </row>
    <row r="15" spans="1:10" ht="20" x14ac:dyDescent="0.2">
      <c r="A15" s="77"/>
      <c r="B15" s="78"/>
      <c r="C15" s="76"/>
      <c r="D15" s="5" t="s">
        <v>23</v>
      </c>
      <c r="E15" s="4" t="s">
        <v>8</v>
      </c>
      <c r="F15" s="19">
        <v>6.2929062000000001E-3</v>
      </c>
      <c r="G15" s="19">
        <v>8.7719298999999994E-3</v>
      </c>
      <c r="H15" s="19">
        <v>0.26620900079999998</v>
      </c>
      <c r="I15" s="19">
        <v>0.49963703459999997</v>
      </c>
      <c r="J15" s="19">
        <v>0.46533840399999998</v>
      </c>
    </row>
    <row r="16" spans="1:10" ht="20" x14ac:dyDescent="0.2">
      <c r="A16" s="77"/>
      <c r="B16" s="78"/>
      <c r="C16" s="76"/>
      <c r="D16" s="8" t="s">
        <v>24</v>
      </c>
      <c r="E16" s="9" t="s">
        <v>9</v>
      </c>
      <c r="F16" s="20">
        <v>0</v>
      </c>
      <c r="G16" s="20">
        <v>1.1441648000000001E-3</v>
      </c>
      <c r="H16" s="20">
        <v>0.82646834479999998</v>
      </c>
      <c r="I16" s="20">
        <v>0.73931582289999997</v>
      </c>
      <c r="J16" s="20">
        <v>0.86156660770000004</v>
      </c>
    </row>
    <row r="17" spans="1:10" x14ac:dyDescent="0.2">
      <c r="A17" s="4"/>
      <c r="B17" s="78"/>
      <c r="C17" s="7"/>
      <c r="E17" s="4"/>
      <c r="F17" s="6"/>
      <c r="G17" s="6"/>
      <c r="H17" s="6"/>
      <c r="I17" s="6"/>
      <c r="J17" s="6"/>
    </row>
    <row r="18" spans="1:10" ht="20" x14ac:dyDescent="0.2">
      <c r="A18" s="77" t="s">
        <v>52</v>
      </c>
      <c r="B18" s="78"/>
      <c r="C18" s="75" t="s">
        <v>32</v>
      </c>
      <c r="D18" s="5" t="s">
        <v>140</v>
      </c>
      <c r="E18" s="4" t="s">
        <v>7</v>
      </c>
      <c r="F18" s="19">
        <v>1.8115941999999999E-2</v>
      </c>
      <c r="G18" s="19">
        <v>3.2418002E-3</v>
      </c>
      <c r="H18" s="19">
        <v>0.47673531660000001</v>
      </c>
      <c r="I18" s="19">
        <v>0.90828805290000003</v>
      </c>
      <c r="J18" s="19">
        <v>0.38241380689999999</v>
      </c>
    </row>
    <row r="19" spans="1:10" ht="20" x14ac:dyDescent="0.2">
      <c r="A19" s="77"/>
      <c r="B19" s="78"/>
      <c r="C19" s="76"/>
      <c r="D19" s="5" t="s">
        <v>23</v>
      </c>
      <c r="E19" s="4" t="s">
        <v>8</v>
      </c>
      <c r="F19" s="19">
        <v>1.4683447699999999E-2</v>
      </c>
      <c r="G19" s="19">
        <v>1.6781083200000001E-2</v>
      </c>
      <c r="H19" s="19">
        <v>0.33028222730000001</v>
      </c>
      <c r="I19" s="19">
        <v>0.6932949316</v>
      </c>
      <c r="J19" s="19">
        <v>0.46851075240000001</v>
      </c>
    </row>
    <row r="20" spans="1:10" ht="20" x14ac:dyDescent="0.2">
      <c r="A20" s="77"/>
      <c r="B20" s="78"/>
      <c r="C20" s="76"/>
      <c r="D20" s="8" t="s">
        <v>24</v>
      </c>
      <c r="E20" s="9" t="s">
        <v>9</v>
      </c>
      <c r="F20" s="20">
        <v>5.7208240000000004E-4</v>
      </c>
      <c r="G20" s="20">
        <v>1.9069412E-3</v>
      </c>
      <c r="H20" s="20">
        <v>1</v>
      </c>
      <c r="I20" s="20">
        <v>0.48074983929999998</v>
      </c>
      <c r="J20" s="20">
        <v>0.47820880100000002</v>
      </c>
    </row>
    <row r="21" spans="1:10" x14ac:dyDescent="0.2">
      <c r="A21" s="4"/>
      <c r="B21" s="78"/>
      <c r="C21" s="7"/>
      <c r="E21" s="4"/>
      <c r="F21" s="6"/>
      <c r="G21" s="6"/>
      <c r="H21" s="6"/>
      <c r="I21" s="6"/>
      <c r="J21" s="6"/>
    </row>
    <row r="22" spans="1:10" ht="20" x14ac:dyDescent="0.2">
      <c r="A22" s="77" t="s">
        <v>51</v>
      </c>
      <c r="B22" s="78"/>
      <c r="C22" s="75" t="s">
        <v>33</v>
      </c>
      <c r="D22" s="5" t="s">
        <v>140</v>
      </c>
      <c r="E22" s="4" t="s">
        <v>7</v>
      </c>
      <c r="F22" s="19">
        <v>6.1022120499999999E-2</v>
      </c>
      <c r="G22" s="19">
        <v>1.9641494999999998E-2</v>
      </c>
      <c r="H22" s="19">
        <v>0.50457665900000004</v>
      </c>
      <c r="I22" s="19">
        <v>0.79997379280000003</v>
      </c>
      <c r="J22" s="19">
        <v>0.4494335834</v>
      </c>
    </row>
    <row r="23" spans="1:10" ht="20" x14ac:dyDescent="0.2">
      <c r="A23" s="77"/>
      <c r="B23" s="78"/>
      <c r="C23" s="76"/>
      <c r="D23" s="5" t="s">
        <v>23</v>
      </c>
      <c r="E23" s="4" t="s">
        <v>8</v>
      </c>
      <c r="F23" s="19">
        <v>1.1441648000000001E-3</v>
      </c>
      <c r="G23" s="19">
        <v>4.3859648999999999E-3</v>
      </c>
      <c r="H23" s="19">
        <v>0.29824561399999999</v>
      </c>
      <c r="I23" s="19">
        <v>0.50951249160000001</v>
      </c>
      <c r="J23" s="19">
        <v>0.48493636159999998</v>
      </c>
    </row>
    <row r="24" spans="1:10" ht="20" x14ac:dyDescent="0.2">
      <c r="A24" s="77"/>
      <c r="B24" s="78"/>
      <c r="C24" s="76"/>
      <c r="D24" s="5" t="s">
        <v>24</v>
      </c>
      <c r="E24" s="4" t="s">
        <v>9</v>
      </c>
      <c r="F24" s="19">
        <v>0</v>
      </c>
      <c r="G24" s="19">
        <v>3.4324943E-3</v>
      </c>
      <c r="H24" s="19">
        <v>0.1468344775</v>
      </c>
      <c r="I24" s="19">
        <v>0.48289788459999999</v>
      </c>
      <c r="J24" s="19">
        <v>0.47928901419999997</v>
      </c>
    </row>
    <row r="25" spans="1:10" x14ac:dyDescent="0.2">
      <c r="A25" s="4"/>
      <c r="B25" s="78"/>
      <c r="C25" s="7"/>
      <c r="E25" s="4"/>
      <c r="F25" s="6"/>
      <c r="G25" s="6"/>
      <c r="H25" s="6"/>
      <c r="I25" s="6"/>
      <c r="J25" s="6"/>
    </row>
    <row r="26" spans="1:10" ht="20" x14ac:dyDescent="0.2">
      <c r="A26" s="77" t="s">
        <v>43</v>
      </c>
      <c r="B26" s="78"/>
      <c r="C26" s="75" t="s">
        <v>34</v>
      </c>
      <c r="D26" s="8" t="s">
        <v>140</v>
      </c>
      <c r="E26" s="9" t="s">
        <v>7</v>
      </c>
      <c r="F26" s="20">
        <v>0.1186117468</v>
      </c>
      <c r="G26" s="20">
        <v>6.1022120000000001E-3</v>
      </c>
      <c r="H26" s="20">
        <v>0.41075514870000002</v>
      </c>
      <c r="I26" s="20">
        <v>0.76521998459999996</v>
      </c>
      <c r="J26" s="20">
        <v>0.42785365250000001</v>
      </c>
    </row>
    <row r="27" spans="1:10" ht="20" x14ac:dyDescent="0.2">
      <c r="A27" s="77"/>
      <c r="B27" s="78"/>
      <c r="C27" s="76"/>
      <c r="D27" s="5" t="s">
        <v>23</v>
      </c>
      <c r="E27" s="4" t="s">
        <v>8</v>
      </c>
      <c r="F27" s="19">
        <v>5.7208240000000004E-4</v>
      </c>
      <c r="G27" s="19">
        <v>2.0976354000000002E-3</v>
      </c>
      <c r="H27" s="19">
        <v>0.26430205950000002</v>
      </c>
      <c r="I27" s="19">
        <v>0.4885343251</v>
      </c>
      <c r="J27" s="19">
        <v>0.47971979549999999</v>
      </c>
    </row>
    <row r="28" spans="1:10" ht="20" x14ac:dyDescent="0.2">
      <c r="A28" s="77"/>
      <c r="B28" s="78"/>
      <c r="C28" s="76"/>
      <c r="D28" s="8" t="s">
        <v>24</v>
      </c>
      <c r="E28" s="9" t="s">
        <v>9</v>
      </c>
      <c r="F28" s="20">
        <v>0</v>
      </c>
      <c r="G28" s="20">
        <v>2.8604119000000001E-3</v>
      </c>
      <c r="H28" s="20">
        <v>1</v>
      </c>
      <c r="I28" s="20">
        <v>0.481477506</v>
      </c>
      <c r="J28" s="20">
        <v>0.48250741460000002</v>
      </c>
    </row>
    <row r="29" spans="1:10" x14ac:dyDescent="0.2">
      <c r="A29" s="4"/>
      <c r="B29" s="78"/>
      <c r="C29" s="7"/>
      <c r="E29" s="4"/>
      <c r="F29" s="6"/>
      <c r="G29" s="6"/>
      <c r="H29" s="6"/>
      <c r="I29" s="6"/>
      <c r="J29" s="6"/>
    </row>
    <row r="30" spans="1:10" ht="20" x14ac:dyDescent="0.2">
      <c r="A30" s="77" t="s">
        <v>44</v>
      </c>
      <c r="B30" s="78"/>
      <c r="C30" s="75" t="s">
        <v>35</v>
      </c>
      <c r="D30" s="5" t="s">
        <v>140</v>
      </c>
      <c r="E30" s="4" t="s">
        <v>7</v>
      </c>
      <c r="F30" s="19">
        <v>8.6956521699999997E-2</v>
      </c>
      <c r="G30" s="19">
        <v>5.4919908400000002E-2</v>
      </c>
      <c r="H30" s="19">
        <v>0.55034324940000001</v>
      </c>
      <c r="I30" s="19">
        <v>0.88981843729999999</v>
      </c>
      <c r="J30" s="19">
        <v>0.41754147930000002</v>
      </c>
    </row>
    <row r="31" spans="1:10" ht="20" x14ac:dyDescent="0.2">
      <c r="A31" s="77"/>
      <c r="B31" s="78"/>
      <c r="C31" s="76"/>
      <c r="D31" s="5" t="s">
        <v>23</v>
      </c>
      <c r="E31" s="4" t="s">
        <v>8</v>
      </c>
      <c r="F31" s="19">
        <v>1.1441648000000001E-3</v>
      </c>
      <c r="G31" s="19">
        <v>4.9771166999999998E-2</v>
      </c>
      <c r="H31" s="19">
        <v>0.18039664380000001</v>
      </c>
      <c r="I31" s="19">
        <v>0.61880202399999995</v>
      </c>
      <c r="J31" s="19">
        <v>0.44863267369999998</v>
      </c>
    </row>
    <row r="32" spans="1:10" ht="20" x14ac:dyDescent="0.2">
      <c r="A32" s="77"/>
      <c r="B32" s="78"/>
      <c r="C32" s="76"/>
      <c r="D32" s="5" t="s">
        <v>24</v>
      </c>
      <c r="E32" s="4" t="s">
        <v>9</v>
      </c>
      <c r="F32" s="19">
        <v>5.7208240000000004E-4</v>
      </c>
      <c r="G32" s="19">
        <v>4.3859648999999999E-3</v>
      </c>
      <c r="H32" s="19">
        <v>0.28985507249999998</v>
      </c>
      <c r="I32" s="19">
        <v>0.48726395379999998</v>
      </c>
      <c r="J32" s="19">
        <v>0.48167254500000001</v>
      </c>
    </row>
    <row r="33" spans="1:10" x14ac:dyDescent="0.2">
      <c r="A33" s="4"/>
      <c r="B33" s="4"/>
      <c r="C33" s="4"/>
      <c r="E33" s="4"/>
      <c r="F33" s="6"/>
      <c r="G33" s="6"/>
      <c r="H33" s="6"/>
      <c r="I33" s="6"/>
      <c r="J33" s="6"/>
    </row>
    <row r="34" spans="1:10" ht="20" x14ac:dyDescent="0.2">
      <c r="A34" s="77" t="s">
        <v>45</v>
      </c>
      <c r="B34" s="77" t="s">
        <v>50</v>
      </c>
      <c r="C34" s="75" t="s">
        <v>28</v>
      </c>
      <c r="D34" s="5" t="s">
        <v>140</v>
      </c>
      <c r="E34" s="4" t="s">
        <v>7</v>
      </c>
      <c r="F34" s="19">
        <v>6.2690548799999996E-2</v>
      </c>
      <c r="G34" s="19">
        <v>3.6204268999999998E-3</v>
      </c>
      <c r="H34" s="19">
        <v>0.42263719509999997</v>
      </c>
      <c r="I34" s="19">
        <v>0.58112046120000005</v>
      </c>
      <c r="J34" s="19">
        <v>0.51529468329999994</v>
      </c>
    </row>
    <row r="35" spans="1:10" ht="20" x14ac:dyDescent="0.2">
      <c r="A35" s="77"/>
      <c r="B35" s="77"/>
      <c r="C35" s="76"/>
      <c r="D35" s="5" t="s">
        <v>23</v>
      </c>
      <c r="E35" s="4" t="s">
        <v>8</v>
      </c>
      <c r="F35" s="19">
        <v>7.8125E-3</v>
      </c>
      <c r="G35" s="19">
        <v>4.1920730999999998E-3</v>
      </c>
      <c r="H35" s="19">
        <v>0.331554878</v>
      </c>
      <c r="I35" s="19">
        <v>0.50855967150000003</v>
      </c>
      <c r="J35" s="19">
        <v>0.49168733549999999</v>
      </c>
    </row>
    <row r="36" spans="1:10" ht="20" x14ac:dyDescent="0.2">
      <c r="A36" s="77"/>
      <c r="B36" s="77"/>
      <c r="C36" s="76"/>
      <c r="D36" s="5" t="s">
        <v>24</v>
      </c>
      <c r="E36" s="4" t="s">
        <v>9</v>
      </c>
      <c r="F36" s="19">
        <v>3.4298780500000001E-2</v>
      </c>
      <c r="G36" s="19">
        <v>7.6219510000000005E-4</v>
      </c>
      <c r="H36" s="19">
        <v>0.34184451220000001</v>
      </c>
      <c r="I36" s="19">
        <v>0.24379135830000001</v>
      </c>
      <c r="J36" s="19">
        <v>0.4980104071</v>
      </c>
    </row>
    <row r="37" spans="1:10" x14ac:dyDescent="0.2">
      <c r="A37" s="4"/>
      <c r="B37" s="77"/>
      <c r="C37" s="7"/>
      <c r="E37" s="4"/>
      <c r="F37" s="6"/>
      <c r="G37" s="6"/>
      <c r="H37" s="6"/>
      <c r="I37" s="6"/>
      <c r="J37" s="6"/>
    </row>
    <row r="38" spans="1:10" ht="20" x14ac:dyDescent="0.2">
      <c r="A38" s="77" t="s">
        <v>46</v>
      </c>
      <c r="B38" s="77"/>
      <c r="C38" s="75" t="s">
        <v>29</v>
      </c>
      <c r="D38" s="5" t="s">
        <v>140</v>
      </c>
      <c r="E38" s="4" t="s">
        <v>7</v>
      </c>
      <c r="F38" s="19">
        <v>7.3742377999999997E-2</v>
      </c>
      <c r="G38" s="19">
        <v>1.77210366E-2</v>
      </c>
      <c r="H38" s="19">
        <v>0.33727134149999999</v>
      </c>
      <c r="I38" s="19">
        <v>0.84133180860000001</v>
      </c>
      <c r="J38" s="19">
        <v>0.421498506</v>
      </c>
    </row>
    <row r="39" spans="1:10" ht="20" x14ac:dyDescent="0.2">
      <c r="A39" s="77"/>
      <c r="B39" s="77"/>
      <c r="C39" s="76"/>
      <c r="D39" s="5" t="s">
        <v>23</v>
      </c>
      <c r="E39" s="4" t="s">
        <v>8</v>
      </c>
      <c r="F39" s="19">
        <v>3.6013719499999999E-2</v>
      </c>
      <c r="G39" s="19">
        <v>2.2675304899999998E-2</v>
      </c>
      <c r="H39" s="19">
        <v>0.34603658539999999</v>
      </c>
      <c r="I39" s="19">
        <v>0.78530530659999997</v>
      </c>
      <c r="J39" s="19">
        <v>0.43452962410000001</v>
      </c>
    </row>
    <row r="40" spans="1:10" ht="20" x14ac:dyDescent="0.2">
      <c r="A40" s="77"/>
      <c r="B40" s="77"/>
      <c r="C40" s="76"/>
      <c r="D40" s="5" t="s">
        <v>24</v>
      </c>
      <c r="E40" s="4" t="s">
        <v>9</v>
      </c>
      <c r="F40" s="19">
        <v>0</v>
      </c>
      <c r="G40" s="19">
        <v>1.9054878E-3</v>
      </c>
      <c r="H40" s="19">
        <v>0.64900914629999995</v>
      </c>
      <c r="I40" s="19">
        <v>0.41518582999999998</v>
      </c>
      <c r="J40" s="19">
        <v>0.4477787178</v>
      </c>
    </row>
    <row r="41" spans="1:10" x14ac:dyDescent="0.2">
      <c r="A41" s="4"/>
      <c r="B41" s="77"/>
      <c r="C41" s="7"/>
      <c r="E41" s="4"/>
      <c r="F41" s="6"/>
      <c r="G41" s="6"/>
      <c r="H41" s="6"/>
      <c r="I41" s="6"/>
      <c r="J41" s="6"/>
    </row>
    <row r="42" spans="1:10" ht="20" x14ac:dyDescent="0.2">
      <c r="A42" s="77" t="s">
        <v>47</v>
      </c>
      <c r="B42" s="77"/>
      <c r="C42" s="75" t="s">
        <v>30</v>
      </c>
      <c r="D42" s="5" t="s">
        <v>140</v>
      </c>
      <c r="E42" s="4" t="s">
        <v>7</v>
      </c>
      <c r="F42" s="19">
        <v>5.6402438999999999E-2</v>
      </c>
      <c r="G42" s="19">
        <v>1.3910061E-2</v>
      </c>
      <c r="H42" s="19">
        <v>0.25647865850000001</v>
      </c>
      <c r="I42" s="19">
        <v>0.78706769850000002</v>
      </c>
      <c r="J42" s="19">
        <v>0.42004035560000003</v>
      </c>
    </row>
    <row r="43" spans="1:10" ht="20" x14ac:dyDescent="0.2">
      <c r="A43" s="77"/>
      <c r="B43" s="77"/>
      <c r="C43" s="76"/>
      <c r="D43" s="5" t="s">
        <v>23</v>
      </c>
      <c r="E43" s="4" t="s">
        <v>8</v>
      </c>
      <c r="F43" s="19">
        <v>5.7164629999999998E-4</v>
      </c>
      <c r="G43" s="19">
        <v>5.3353658000000002E-3</v>
      </c>
      <c r="H43" s="19">
        <v>0.26981707319999998</v>
      </c>
      <c r="I43" s="19">
        <v>0.48663375619999999</v>
      </c>
      <c r="J43" s="19">
        <v>0.48601019839999998</v>
      </c>
    </row>
    <row r="44" spans="1:10" ht="20" x14ac:dyDescent="0.2">
      <c r="A44" s="77"/>
      <c r="B44" s="77"/>
      <c r="C44" s="76"/>
      <c r="D44" s="5" t="s">
        <v>24</v>
      </c>
      <c r="E44" s="4" t="s">
        <v>9</v>
      </c>
      <c r="F44" s="19">
        <v>0</v>
      </c>
      <c r="G44" s="19">
        <v>1.3338415000000001E-3</v>
      </c>
      <c r="H44" s="19">
        <v>0.1211890244</v>
      </c>
      <c r="I44" s="19">
        <v>0.26047697260000002</v>
      </c>
      <c r="J44" s="19">
        <v>0.1173744025</v>
      </c>
    </row>
    <row r="45" spans="1:10" x14ac:dyDescent="0.2">
      <c r="A45" s="4"/>
      <c r="B45" s="77"/>
      <c r="C45" s="7"/>
      <c r="E45" s="4"/>
      <c r="F45" s="6"/>
      <c r="G45" s="6"/>
      <c r="H45" s="6"/>
      <c r="I45" s="6"/>
      <c r="J45" s="6"/>
    </row>
    <row r="46" spans="1:10" ht="20" x14ac:dyDescent="0.2">
      <c r="A46" s="77" t="s">
        <v>48</v>
      </c>
      <c r="B46" s="77"/>
      <c r="C46" s="75" t="s">
        <v>34</v>
      </c>
      <c r="D46" s="8" t="s">
        <v>140</v>
      </c>
      <c r="E46" s="9" t="s">
        <v>7</v>
      </c>
      <c r="F46" s="20">
        <v>6.6882622000000003E-2</v>
      </c>
      <c r="G46" s="20">
        <v>4.1730182900000003E-2</v>
      </c>
      <c r="H46" s="20">
        <v>0.3525152439</v>
      </c>
      <c r="I46" s="20">
        <v>0.91800077579999995</v>
      </c>
      <c r="J46" s="20">
        <v>0.3527158145</v>
      </c>
    </row>
    <row r="47" spans="1:10" ht="20" x14ac:dyDescent="0.2">
      <c r="A47" s="77"/>
      <c r="B47" s="77"/>
      <c r="C47" s="76"/>
      <c r="D47" s="8" t="s">
        <v>23</v>
      </c>
      <c r="E47" s="9" t="s">
        <v>8</v>
      </c>
      <c r="F47" s="20">
        <v>6.0213414600000001E-2</v>
      </c>
      <c r="G47" s="20">
        <v>0.14100609750000001</v>
      </c>
      <c r="H47" s="20">
        <v>0.51181402440000001</v>
      </c>
      <c r="I47" s="20">
        <v>0.85295546509999998</v>
      </c>
      <c r="J47" s="20">
        <v>0.40423080890000002</v>
      </c>
    </row>
    <row r="48" spans="1:10" ht="20" x14ac:dyDescent="0.2">
      <c r="A48" s="77"/>
      <c r="B48" s="77"/>
      <c r="C48" s="76"/>
      <c r="D48" s="5" t="s">
        <v>24</v>
      </c>
      <c r="E48" s="4" t="s">
        <v>9</v>
      </c>
      <c r="F48" s="19">
        <v>0</v>
      </c>
      <c r="G48" s="19">
        <v>3.4298779999999999E-3</v>
      </c>
      <c r="H48" s="19">
        <v>1</v>
      </c>
      <c r="I48" s="19">
        <v>0.47132286420000002</v>
      </c>
      <c r="J48" s="19">
        <v>0.47686803360000002</v>
      </c>
    </row>
    <row r="51" spans="4:10" x14ac:dyDescent="0.2">
      <c r="E51" s="8" t="s">
        <v>38</v>
      </c>
      <c r="F51" s="11">
        <f>MAX(F2:F48)</f>
        <v>0.1186117468</v>
      </c>
      <c r="G51" s="11">
        <f>MAX(G2:G48)</f>
        <v>0.14100609750000001</v>
      </c>
      <c r="H51" s="11">
        <f>MAX(H2:H48)</f>
        <v>1</v>
      </c>
      <c r="I51" s="11">
        <f>MAX(I2:I48)</f>
        <v>0.91800077579999995</v>
      </c>
      <c r="J51" s="11">
        <f>MAX(J2:J48)</f>
        <v>0.86156660770000004</v>
      </c>
    </row>
    <row r="52" spans="4:10" x14ac:dyDescent="0.2">
      <c r="D52" s="5" t="s">
        <v>36</v>
      </c>
      <c r="E52" s="8" t="s">
        <v>37</v>
      </c>
      <c r="F52" s="11">
        <f>AVERAGE(F2:F48)</f>
        <v>2.9188943391666666E-2</v>
      </c>
      <c r="G52" s="11">
        <f>AVERAGE(G2:G48)</f>
        <v>1.396818327777778E-2</v>
      </c>
      <c r="H52" s="11">
        <f>AVERAGE(H2:H48)</f>
        <v>0.46132214239166669</v>
      </c>
      <c r="I52" s="11">
        <f>AVERAGE(I2:I48)</f>
        <v>0.60742296074166668</v>
      </c>
      <c r="J52" s="11">
        <f>AVERAGE(J2:J48)</f>
        <v>0.45209118341388899</v>
      </c>
    </row>
  </sheetData>
  <mergeCells count="26">
    <mergeCell ref="C30:C32"/>
    <mergeCell ref="A34:A36"/>
    <mergeCell ref="B34:B48"/>
    <mergeCell ref="C34:C36"/>
    <mergeCell ref="A38:A40"/>
    <mergeCell ref="C38:C40"/>
    <mergeCell ref="A42:A44"/>
    <mergeCell ref="C42:C44"/>
    <mergeCell ref="A46:A48"/>
    <mergeCell ref="C46:C48"/>
    <mergeCell ref="A2:A4"/>
    <mergeCell ref="B2:B32"/>
    <mergeCell ref="C2:C4"/>
    <mergeCell ref="A6:A8"/>
    <mergeCell ref="C6:C8"/>
    <mergeCell ref="A10:A12"/>
    <mergeCell ref="C10:C12"/>
    <mergeCell ref="A14:A16"/>
    <mergeCell ref="C14:C16"/>
    <mergeCell ref="A18:A20"/>
    <mergeCell ref="C18:C20"/>
    <mergeCell ref="A22:A24"/>
    <mergeCell ref="C22:C24"/>
    <mergeCell ref="A26:A28"/>
    <mergeCell ref="C26:C28"/>
    <mergeCell ref="A30:A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BED1-E6AE-6440-9DA8-C62C40C218E4}">
  <dimension ref="A1:M53"/>
  <sheetViews>
    <sheetView zoomScale="90" workbookViewId="0">
      <pane ySplit="1" topLeftCell="A2" activePane="bottomLeft" state="frozen"/>
      <selection pane="bottomLeft" activeCell="D14" sqref="D14"/>
    </sheetView>
  </sheetViews>
  <sheetFormatPr baseColWidth="10" defaultColWidth="8.83203125" defaultRowHeight="19" x14ac:dyDescent="0.2"/>
  <cols>
    <col min="1" max="1" width="22.1640625" style="5" customWidth="1"/>
    <col min="2" max="2" width="37.83203125" style="5" customWidth="1"/>
    <col min="3" max="3" width="36.5" style="5" customWidth="1"/>
    <col min="4" max="4" width="21.83203125" style="5" customWidth="1"/>
    <col min="5" max="5" width="15" style="5" customWidth="1"/>
    <col min="6" max="13" width="17.5" style="12" customWidth="1"/>
    <col min="14" max="16384" width="8.83203125" style="5"/>
  </cols>
  <sheetData>
    <row r="1" spans="1:13" s="18" customFormat="1" ht="111" thickBot="1" x14ac:dyDescent="0.25">
      <c r="A1" s="16" t="s">
        <v>25</v>
      </c>
      <c r="B1" s="16" t="s">
        <v>53</v>
      </c>
      <c r="C1" s="16" t="s">
        <v>26</v>
      </c>
      <c r="D1" s="16" t="s">
        <v>22</v>
      </c>
      <c r="E1" s="16" t="s">
        <v>0</v>
      </c>
      <c r="F1" s="17" t="s">
        <v>1</v>
      </c>
      <c r="G1" s="17" t="s">
        <v>2</v>
      </c>
      <c r="H1" s="17" t="s">
        <v>3</v>
      </c>
      <c r="I1" s="17" t="s">
        <v>4</v>
      </c>
      <c r="J1" s="17" t="s">
        <v>5</v>
      </c>
      <c r="K1" s="29" t="s">
        <v>54</v>
      </c>
      <c r="L1" s="29" t="s">
        <v>55</v>
      </c>
      <c r="M1" s="29" t="s">
        <v>87</v>
      </c>
    </row>
    <row r="2" spans="1:13" ht="20" x14ac:dyDescent="0.2">
      <c r="A2" s="78" t="s">
        <v>27</v>
      </c>
      <c r="B2" s="77" t="s">
        <v>74</v>
      </c>
      <c r="C2" s="75" t="s">
        <v>28</v>
      </c>
      <c r="D2" s="5" t="s">
        <v>140</v>
      </c>
      <c r="E2" s="4" t="s">
        <v>7</v>
      </c>
      <c r="F2" s="12">
        <v>3.8901601799999998E-2</v>
      </c>
      <c r="G2" s="12">
        <v>6.1022120000000001E-3</v>
      </c>
      <c r="H2" s="12">
        <v>0.63958810070000005</v>
      </c>
      <c r="I2" s="12">
        <v>0.6580912753</v>
      </c>
      <c r="J2" s="12">
        <v>0.68471369510000002</v>
      </c>
      <c r="K2" s="12">
        <f>F2*1/5 +G2*1/5+H2*1/5+I2*1/5+J2*1/5</f>
        <v>0.40547937698000003</v>
      </c>
      <c r="L2" s="12">
        <f>H2*1/2+J2*1/2</f>
        <v>0.66215089790000004</v>
      </c>
      <c r="M2" s="12">
        <f>F2*1/3+G2*1/3+I2*1/3</f>
        <v>0.2343650297</v>
      </c>
    </row>
    <row r="3" spans="1:13" ht="20" x14ac:dyDescent="0.2">
      <c r="A3" s="78"/>
      <c r="B3" s="77"/>
      <c r="C3" s="76"/>
      <c r="D3" s="5" t="s">
        <v>23</v>
      </c>
      <c r="E3" s="4" t="s">
        <v>8</v>
      </c>
      <c r="F3" s="12">
        <v>1.75438596E-2</v>
      </c>
      <c r="G3" s="12">
        <v>3.6231884E-3</v>
      </c>
      <c r="H3" s="12">
        <v>0.26926010680000001</v>
      </c>
      <c r="I3" s="12">
        <v>0.50990095319999995</v>
      </c>
      <c r="J3" s="12">
        <v>0.49317243570000002</v>
      </c>
      <c r="K3" s="12">
        <f t="shared" ref="K3:K48" si="0">F3*1/5 +G3*1/5+H3*1/5+I3*1/5+J3*1/5</f>
        <v>0.25870010873999999</v>
      </c>
      <c r="L3" s="12">
        <f>H3*1/2+J3*1/2</f>
        <v>0.38121627125000002</v>
      </c>
      <c r="M3" s="12">
        <f t="shared" ref="M3:M4" si="1">F3*1/3+G3*1/3+I3*1/3</f>
        <v>0.17702266706666667</v>
      </c>
    </row>
    <row r="4" spans="1:13" ht="20" x14ac:dyDescent="0.2">
      <c r="A4" s="78"/>
      <c r="B4" s="77"/>
      <c r="C4" s="76"/>
      <c r="D4" s="5" t="s">
        <v>24</v>
      </c>
      <c r="E4" s="4" t="s">
        <v>9</v>
      </c>
      <c r="F4" s="12">
        <v>3.8138830000000002E-4</v>
      </c>
      <c r="G4" s="12">
        <v>2.6697177000000001E-3</v>
      </c>
      <c r="H4" s="12">
        <v>0.79366895500000001</v>
      </c>
      <c r="I4" s="12">
        <v>0.57090215860000004</v>
      </c>
      <c r="J4" s="12">
        <v>0.58510193919999998</v>
      </c>
      <c r="K4" s="12">
        <f t="shared" si="0"/>
        <v>0.39054483175999999</v>
      </c>
      <c r="L4" s="12">
        <f>H4*1/2+J4*1/2</f>
        <v>0.68938544710000005</v>
      </c>
      <c r="M4" s="12">
        <f t="shared" si="1"/>
        <v>0.19131775486666669</v>
      </c>
    </row>
    <row r="5" spans="1:13" x14ac:dyDescent="0.2">
      <c r="A5" s="78"/>
      <c r="B5" s="4"/>
      <c r="C5" s="7"/>
      <c r="E5" s="4"/>
      <c r="F5" s="6"/>
      <c r="G5" s="6"/>
      <c r="H5" s="6"/>
      <c r="I5" s="6"/>
      <c r="J5" s="6"/>
    </row>
    <row r="6" spans="1:13" ht="20" x14ac:dyDescent="0.2">
      <c r="A6" s="78"/>
      <c r="B6" s="77" t="s">
        <v>75</v>
      </c>
      <c r="C6" s="75" t="s">
        <v>29</v>
      </c>
      <c r="D6" s="5" t="s">
        <v>140</v>
      </c>
      <c r="E6" s="4" t="s">
        <v>7</v>
      </c>
      <c r="F6" s="12">
        <v>3.56598017E-2</v>
      </c>
      <c r="G6" s="12">
        <v>1.14416476E-2</v>
      </c>
      <c r="H6" s="12">
        <v>0.65484363079999997</v>
      </c>
      <c r="I6" s="12">
        <v>0.75059192720000001</v>
      </c>
      <c r="J6" s="12">
        <v>0.59952031800000005</v>
      </c>
      <c r="K6" s="12">
        <f t="shared" si="0"/>
        <v>0.41041146505999998</v>
      </c>
      <c r="L6" s="12">
        <f t="shared" ref="L6:L8" si="2">H6*1/2+J6*1/2</f>
        <v>0.62718197440000001</v>
      </c>
      <c r="M6" s="12">
        <f>F6*1/3+G6*1/3+I6*1/3</f>
        <v>0.26589779216666665</v>
      </c>
    </row>
    <row r="7" spans="1:13" ht="20" x14ac:dyDescent="0.2">
      <c r="A7" s="78"/>
      <c r="B7" s="77"/>
      <c r="C7" s="76"/>
      <c r="D7" s="5" t="s">
        <v>23</v>
      </c>
      <c r="E7" s="4" t="s">
        <v>8</v>
      </c>
      <c r="F7" s="12">
        <v>0</v>
      </c>
      <c r="G7" s="12">
        <v>2.6697178000000001E-3</v>
      </c>
      <c r="H7" s="12">
        <v>0.31807780320000001</v>
      </c>
      <c r="I7" s="12">
        <v>0.49853525259999998</v>
      </c>
      <c r="J7" s="12">
        <v>0.49760901740000002</v>
      </c>
      <c r="K7" s="12">
        <f t="shared" si="0"/>
        <v>0.2633783582</v>
      </c>
      <c r="L7" s="12">
        <f t="shared" si="2"/>
        <v>0.40784341030000004</v>
      </c>
      <c r="M7" s="12">
        <f t="shared" ref="M7:M8" si="3">F7*1/3+G7*1/3+I7*1/3</f>
        <v>0.16706832346666664</v>
      </c>
    </row>
    <row r="8" spans="1:13" ht="20" x14ac:dyDescent="0.2">
      <c r="A8" s="78"/>
      <c r="B8" s="77"/>
      <c r="C8" s="76"/>
      <c r="D8" s="8" t="s">
        <v>24</v>
      </c>
      <c r="E8" s="9" t="s">
        <v>9</v>
      </c>
      <c r="F8" s="11">
        <v>0</v>
      </c>
      <c r="G8" s="11">
        <v>5.3394356000000002E-3</v>
      </c>
      <c r="H8" s="11">
        <v>0.96948893970000005</v>
      </c>
      <c r="I8" s="11">
        <v>0.54854145649999997</v>
      </c>
      <c r="J8" s="11">
        <v>0.61895662200000001</v>
      </c>
      <c r="K8" s="12">
        <f t="shared" si="0"/>
        <v>0.42846529076000001</v>
      </c>
      <c r="L8" s="12">
        <f t="shared" si="2"/>
        <v>0.79422278084999998</v>
      </c>
      <c r="M8" s="12">
        <f t="shared" si="3"/>
        <v>0.18462696403333334</v>
      </c>
    </row>
    <row r="9" spans="1:13" x14ac:dyDescent="0.2">
      <c r="A9" s="78"/>
      <c r="B9" s="4"/>
      <c r="C9" s="7"/>
      <c r="E9" s="4"/>
      <c r="F9" s="6"/>
      <c r="G9" s="6"/>
      <c r="H9" s="6"/>
      <c r="I9" s="6"/>
      <c r="J9" s="6"/>
    </row>
    <row r="10" spans="1:13" ht="20" x14ac:dyDescent="0.2">
      <c r="A10" s="78"/>
      <c r="B10" s="77" t="s">
        <v>76</v>
      </c>
      <c r="C10" s="75" t="s">
        <v>30</v>
      </c>
      <c r="D10" s="5" t="s">
        <v>140</v>
      </c>
      <c r="E10" s="4" t="s">
        <v>7</v>
      </c>
      <c r="F10" s="12">
        <v>1.3539282999999999E-2</v>
      </c>
      <c r="G10" s="12">
        <v>7.437071E-3</v>
      </c>
      <c r="H10" s="12">
        <v>0.68192219679999999</v>
      </c>
      <c r="I10" s="12">
        <v>0.76195930150000002</v>
      </c>
      <c r="J10" s="12">
        <v>0.65195960269999997</v>
      </c>
      <c r="K10" s="12">
        <f t="shared" si="0"/>
        <v>0.42336349099999998</v>
      </c>
      <c r="L10" s="12">
        <f t="shared" ref="L10:L12" si="4">H10*1/2+J10*1/2</f>
        <v>0.66694089974999993</v>
      </c>
      <c r="M10" s="12">
        <f>F10*1/3+G10*1/3+I10*1/3</f>
        <v>0.26097855183333335</v>
      </c>
    </row>
    <row r="11" spans="1:13" ht="20" x14ac:dyDescent="0.2">
      <c r="A11" s="78"/>
      <c r="B11" s="77"/>
      <c r="C11" s="76"/>
      <c r="D11" s="5" t="s">
        <v>23</v>
      </c>
      <c r="E11" s="4" t="s">
        <v>8</v>
      </c>
      <c r="F11" s="12">
        <v>4.3859648999999999E-3</v>
      </c>
      <c r="G11" s="12">
        <v>3.8138830000000002E-4</v>
      </c>
      <c r="H11" s="12">
        <v>0.81388253239999997</v>
      </c>
      <c r="I11" s="12">
        <v>0.62862944050000003</v>
      </c>
      <c r="J11" s="12">
        <v>0.64003247760000004</v>
      </c>
      <c r="K11" s="12">
        <f t="shared" si="0"/>
        <v>0.41746236073999998</v>
      </c>
      <c r="L11" s="12">
        <f t="shared" si="4"/>
        <v>0.726957505</v>
      </c>
      <c r="M11" s="12">
        <f t="shared" ref="M11:M12" si="5">F11*1/3+G11*1/3+I11*1/3</f>
        <v>0.21113226456666667</v>
      </c>
    </row>
    <row r="12" spans="1:13" ht="20" x14ac:dyDescent="0.2">
      <c r="A12" s="78"/>
      <c r="B12" s="77"/>
      <c r="C12" s="76"/>
      <c r="D12" s="5" t="s">
        <v>24</v>
      </c>
      <c r="E12" s="4" t="s">
        <v>9</v>
      </c>
      <c r="F12" s="12">
        <v>0</v>
      </c>
      <c r="G12" s="12">
        <v>2.2883295000000001E-3</v>
      </c>
      <c r="H12" s="12">
        <v>2.93668955E-2</v>
      </c>
      <c r="I12" s="12">
        <v>0.47452555019999998</v>
      </c>
      <c r="J12" s="12">
        <v>0.47974364320000001</v>
      </c>
      <c r="K12" s="12">
        <f t="shared" si="0"/>
        <v>0.19718488368000001</v>
      </c>
      <c r="L12" s="12">
        <f t="shared" si="4"/>
        <v>0.25455526935</v>
      </c>
      <c r="M12" s="12">
        <f t="shared" si="5"/>
        <v>0.15893795990000001</v>
      </c>
    </row>
    <row r="13" spans="1:13" x14ac:dyDescent="0.2">
      <c r="A13" s="78"/>
      <c r="B13" s="4"/>
      <c r="C13" s="7"/>
      <c r="E13" s="4"/>
      <c r="F13" s="6"/>
      <c r="G13" s="6"/>
      <c r="H13" s="6"/>
      <c r="I13" s="6"/>
      <c r="J13" s="6"/>
    </row>
    <row r="14" spans="1:13" ht="20" x14ac:dyDescent="0.2">
      <c r="A14" s="78"/>
      <c r="B14" s="77" t="s">
        <v>77</v>
      </c>
      <c r="C14" s="75" t="s">
        <v>31</v>
      </c>
      <c r="D14" s="5" t="s">
        <v>140</v>
      </c>
      <c r="E14" s="4" t="s">
        <v>7</v>
      </c>
      <c r="F14" s="12">
        <v>2.7841342500000001E-2</v>
      </c>
      <c r="G14" s="12">
        <v>9.3440121999999997E-3</v>
      </c>
      <c r="H14" s="12">
        <v>0.66628527839999996</v>
      </c>
      <c r="I14" s="12">
        <v>0.68165094780000002</v>
      </c>
      <c r="J14" s="12">
        <v>0.656536805</v>
      </c>
      <c r="K14" s="12">
        <f t="shared" si="0"/>
        <v>0.40833167718000002</v>
      </c>
      <c r="L14" s="12">
        <f t="shared" ref="L14:L16" si="6">H14*1/2+J14*1/2</f>
        <v>0.66141104169999998</v>
      </c>
      <c r="M14" s="12">
        <f>F14*1/3+G14*1/3+I14*1/3</f>
        <v>0.23961210083333334</v>
      </c>
    </row>
    <row r="15" spans="1:13" ht="20" x14ac:dyDescent="0.2">
      <c r="A15" s="78"/>
      <c r="B15" s="77"/>
      <c r="C15" s="76"/>
      <c r="D15" s="5" t="s">
        <v>23</v>
      </c>
      <c r="E15" s="4" t="s">
        <v>8</v>
      </c>
      <c r="F15" s="12">
        <v>1.9069409999999999E-4</v>
      </c>
      <c r="G15" s="12">
        <v>2.4790237000000001E-3</v>
      </c>
      <c r="H15" s="12">
        <v>0.26735316549999999</v>
      </c>
      <c r="I15" s="12">
        <v>0.51288884690000003</v>
      </c>
      <c r="J15" s="12">
        <v>0.4966505316</v>
      </c>
      <c r="K15" s="12">
        <f t="shared" si="0"/>
        <v>0.25591245235999999</v>
      </c>
      <c r="L15" s="12">
        <f t="shared" si="6"/>
        <v>0.38200184854999997</v>
      </c>
      <c r="M15" s="12">
        <f t="shared" ref="M15:M16" si="7">F15*1/3+G15*1/3+I15*1/3</f>
        <v>0.17185285489999999</v>
      </c>
    </row>
    <row r="16" spans="1:13" ht="20" x14ac:dyDescent="0.2">
      <c r="A16" s="78"/>
      <c r="B16" s="77"/>
      <c r="C16" s="76"/>
      <c r="D16" s="5" t="s">
        <v>24</v>
      </c>
      <c r="E16" s="4" t="s">
        <v>9</v>
      </c>
      <c r="F16" s="12">
        <v>3.8138830000000002E-4</v>
      </c>
      <c r="G16" s="12">
        <v>3.2418001E-3</v>
      </c>
      <c r="H16" s="12">
        <v>2.8604119000000001E-2</v>
      </c>
      <c r="I16" s="12">
        <v>0.30229342920000002</v>
      </c>
      <c r="J16" s="12">
        <v>0.19462933560000001</v>
      </c>
      <c r="K16" s="12">
        <f t="shared" si="0"/>
        <v>0.10583001444000001</v>
      </c>
      <c r="L16" s="12">
        <f t="shared" si="6"/>
        <v>0.11161672730000001</v>
      </c>
      <c r="M16" s="12">
        <f t="shared" si="7"/>
        <v>0.10197220586666668</v>
      </c>
    </row>
    <row r="17" spans="1:13" x14ac:dyDescent="0.2">
      <c r="A17" s="78"/>
      <c r="B17" s="4"/>
      <c r="C17" s="7"/>
      <c r="E17" s="4"/>
      <c r="F17" s="6"/>
      <c r="G17" s="6"/>
      <c r="H17" s="6"/>
      <c r="I17" s="6"/>
      <c r="J17" s="6"/>
    </row>
    <row r="18" spans="1:13" ht="20" x14ac:dyDescent="0.2">
      <c r="A18" s="78"/>
      <c r="B18" s="77" t="s">
        <v>78</v>
      </c>
      <c r="C18" s="75" t="s">
        <v>32</v>
      </c>
      <c r="D18" s="5" t="s">
        <v>140</v>
      </c>
      <c r="E18" s="4" t="s">
        <v>7</v>
      </c>
      <c r="F18" s="12">
        <v>1.5636918400000002E-2</v>
      </c>
      <c r="G18" s="12">
        <v>6.2929062000000001E-3</v>
      </c>
      <c r="H18" s="12">
        <v>0.77612509529999996</v>
      </c>
      <c r="I18" s="12">
        <v>0.74139800369999997</v>
      </c>
      <c r="J18" s="12">
        <v>0.74694543889999998</v>
      </c>
      <c r="K18" s="12">
        <f t="shared" si="0"/>
        <v>0.45727967249999996</v>
      </c>
      <c r="L18" s="12">
        <f t="shared" ref="L18:L20" si="8">H18*1/2+J18*1/2</f>
        <v>0.76153526709999997</v>
      </c>
      <c r="M18" s="12">
        <f>F18*1/3+G18*1/3+I18*1/3</f>
        <v>0.2544426094333333</v>
      </c>
    </row>
    <row r="19" spans="1:13" ht="20" x14ac:dyDescent="0.2">
      <c r="A19" s="78"/>
      <c r="B19" s="77"/>
      <c r="C19" s="76"/>
      <c r="D19" s="5" t="s">
        <v>23</v>
      </c>
      <c r="E19" s="4" t="s">
        <v>8</v>
      </c>
      <c r="F19" s="12">
        <v>1.9069409999999999E-4</v>
      </c>
      <c r="G19" s="12">
        <v>3.2418001E-3</v>
      </c>
      <c r="H19" s="12">
        <v>0.29099923719999998</v>
      </c>
      <c r="I19" s="12">
        <v>0.48040252360000002</v>
      </c>
      <c r="J19" s="12">
        <v>0.47678633349999999</v>
      </c>
      <c r="K19" s="12">
        <f t="shared" si="0"/>
        <v>0.25032411769999996</v>
      </c>
      <c r="L19" s="12">
        <f t="shared" si="8"/>
        <v>0.38389278534999999</v>
      </c>
      <c r="M19" s="12">
        <f t="shared" ref="M19:M20" si="9">F19*1/3+G19*1/3+I19*1/3</f>
        <v>0.16127833926666668</v>
      </c>
    </row>
    <row r="20" spans="1:13" ht="20" x14ac:dyDescent="0.2">
      <c r="A20" s="78"/>
      <c r="B20" s="77"/>
      <c r="C20" s="76"/>
      <c r="D20" s="5" t="s">
        <v>24</v>
      </c>
      <c r="E20" s="4" t="s">
        <v>9</v>
      </c>
      <c r="F20" s="12">
        <v>3.8138830000000002E-4</v>
      </c>
      <c r="G20" s="12">
        <v>4.1952708000000003E-3</v>
      </c>
      <c r="H20" s="12">
        <v>2.7078565999999998E-2</v>
      </c>
      <c r="I20" s="12">
        <v>0.40992652470000002</v>
      </c>
      <c r="J20" s="12">
        <v>0.38954129339999999</v>
      </c>
      <c r="K20" s="12">
        <f t="shared" si="0"/>
        <v>0.16622460863999999</v>
      </c>
      <c r="L20" s="12">
        <f t="shared" si="8"/>
        <v>0.20830992970000001</v>
      </c>
      <c r="M20" s="12">
        <f t="shared" si="9"/>
        <v>0.13816772793333332</v>
      </c>
    </row>
    <row r="21" spans="1:13" x14ac:dyDescent="0.2">
      <c r="A21" s="78"/>
      <c r="B21" s="4"/>
      <c r="C21" s="7"/>
      <c r="E21" s="4"/>
      <c r="F21" s="6"/>
      <c r="G21" s="6"/>
      <c r="H21" s="6"/>
      <c r="I21" s="6"/>
      <c r="J21" s="6"/>
    </row>
    <row r="22" spans="1:13" ht="20" x14ac:dyDescent="0.2">
      <c r="A22" s="78"/>
      <c r="B22" s="77" t="s">
        <v>79</v>
      </c>
      <c r="C22" s="75" t="s">
        <v>33</v>
      </c>
      <c r="D22" s="5" t="s">
        <v>140</v>
      </c>
      <c r="E22" s="4" t="s">
        <v>7</v>
      </c>
      <c r="F22" s="12">
        <v>1.8688024399999999E-2</v>
      </c>
      <c r="G22" s="12">
        <v>1.6209000800000001E-2</v>
      </c>
      <c r="H22" s="12">
        <v>0.64340198319999997</v>
      </c>
      <c r="I22" s="12">
        <v>0.73541693649999995</v>
      </c>
      <c r="J22" s="12">
        <v>0.57155276239999997</v>
      </c>
      <c r="K22" s="12">
        <f t="shared" si="0"/>
        <v>0.39705374145999994</v>
      </c>
      <c r="L22" s="12">
        <f t="shared" ref="L22:L24" si="10">H22*1/2+J22*1/2</f>
        <v>0.60747737280000003</v>
      </c>
      <c r="M22" s="12">
        <f>F22*1/3+G22*1/3+I22*1/3</f>
        <v>0.25677132056666668</v>
      </c>
    </row>
    <row r="23" spans="1:13" ht="20" x14ac:dyDescent="0.2">
      <c r="A23" s="78"/>
      <c r="B23" s="77"/>
      <c r="C23" s="76"/>
      <c r="D23" s="5" t="s">
        <v>23</v>
      </c>
      <c r="E23" s="4" t="s">
        <v>8</v>
      </c>
      <c r="F23" s="12">
        <v>5.7208240000000004E-4</v>
      </c>
      <c r="G23" s="12">
        <v>2.4790237000000001E-3</v>
      </c>
      <c r="H23" s="12">
        <v>0.14492753620000001</v>
      </c>
      <c r="I23" s="12">
        <v>0.36882205509999999</v>
      </c>
      <c r="J23" s="12">
        <v>0.36333761959999999</v>
      </c>
      <c r="K23" s="12">
        <f t="shared" si="0"/>
        <v>0.17602766340000001</v>
      </c>
      <c r="L23" s="12">
        <f t="shared" si="10"/>
        <v>0.25413257789999999</v>
      </c>
      <c r="M23" s="12">
        <f t="shared" ref="M23:M24" si="11">F23*1/3+G23*1/3+I23*1/3</f>
        <v>0.1239577204</v>
      </c>
    </row>
    <row r="24" spans="1:13" ht="20" x14ac:dyDescent="0.2">
      <c r="A24" s="78"/>
      <c r="B24" s="77"/>
      <c r="C24" s="76"/>
      <c r="D24" s="5" t="s">
        <v>24</v>
      </c>
      <c r="E24" s="4" t="s">
        <v>9</v>
      </c>
      <c r="F24" s="12">
        <v>5.7208240000000004E-4</v>
      </c>
      <c r="G24" s="12">
        <v>2.8604119000000001E-3</v>
      </c>
      <c r="H24" s="12">
        <v>0.408085431</v>
      </c>
      <c r="I24" s="12">
        <v>0.61558054129999995</v>
      </c>
      <c r="J24" s="12">
        <v>0.64331702260000001</v>
      </c>
      <c r="K24" s="12">
        <f t="shared" si="0"/>
        <v>0.33408309784000001</v>
      </c>
      <c r="L24" s="12">
        <f t="shared" si="10"/>
        <v>0.52570122679999998</v>
      </c>
      <c r="M24" s="12">
        <f t="shared" si="11"/>
        <v>0.20633767853333332</v>
      </c>
    </row>
    <row r="25" spans="1:13" x14ac:dyDescent="0.2">
      <c r="A25" s="78"/>
      <c r="B25" s="4"/>
      <c r="C25" s="7"/>
      <c r="E25" s="4"/>
      <c r="F25" s="6"/>
      <c r="G25" s="6"/>
      <c r="H25" s="6"/>
      <c r="I25" s="6"/>
      <c r="J25" s="6"/>
    </row>
    <row r="26" spans="1:13" ht="20" x14ac:dyDescent="0.2">
      <c r="A26" s="78"/>
      <c r="B26" s="77" t="s">
        <v>80</v>
      </c>
      <c r="C26" s="75" t="s">
        <v>34</v>
      </c>
      <c r="D26" s="5" t="s">
        <v>140</v>
      </c>
      <c r="E26" s="4" t="s">
        <v>7</v>
      </c>
      <c r="F26" s="12">
        <v>1.83066362E-2</v>
      </c>
      <c r="G26" s="12">
        <v>9.1533181000000002E-3</v>
      </c>
      <c r="H26" s="12">
        <v>0.74713958810000003</v>
      </c>
      <c r="I26" s="12">
        <v>0.84097820459999995</v>
      </c>
      <c r="J26" s="12">
        <v>0.65728491980000003</v>
      </c>
      <c r="K26" s="12">
        <f t="shared" si="0"/>
        <v>0.45457253335999998</v>
      </c>
      <c r="L26" s="12">
        <f>H26*1/2+J26*1/2</f>
        <v>0.70221225394999998</v>
      </c>
      <c r="M26" s="12">
        <f>F26*1/3+G26*1/3+I26*1/3</f>
        <v>0.28947938629999997</v>
      </c>
    </row>
    <row r="27" spans="1:13" ht="20" x14ac:dyDescent="0.2">
      <c r="A27" s="78"/>
      <c r="B27" s="77"/>
      <c r="C27" s="76"/>
      <c r="D27" s="5" t="s">
        <v>23</v>
      </c>
      <c r="E27" s="4" t="s">
        <v>8</v>
      </c>
      <c r="F27" s="12">
        <v>6.2929062000000001E-3</v>
      </c>
      <c r="G27" s="12">
        <v>1.5064836E-2</v>
      </c>
      <c r="H27" s="12">
        <v>0.65980167810000001</v>
      </c>
      <c r="I27" s="12">
        <v>0.75336811260000003</v>
      </c>
      <c r="J27" s="12">
        <v>0.59480806279999998</v>
      </c>
      <c r="K27" s="12">
        <f t="shared" si="0"/>
        <v>0.40586711914000001</v>
      </c>
      <c r="L27" s="12">
        <f>H27*1/2+J27*1/2</f>
        <v>0.62730487044999994</v>
      </c>
      <c r="M27" s="12">
        <f t="shared" ref="M27:M28" si="12">F27*1/3+G27*1/3+I27*1/3</f>
        <v>0.25824195159999996</v>
      </c>
    </row>
    <row r="28" spans="1:13" ht="20" x14ac:dyDescent="0.2">
      <c r="A28" s="78"/>
      <c r="B28" s="77"/>
      <c r="C28" s="76"/>
      <c r="D28" s="5" t="s">
        <v>24</v>
      </c>
      <c r="E28" s="4" t="s">
        <v>9</v>
      </c>
      <c r="F28" s="12">
        <v>3.8138830000000002E-4</v>
      </c>
      <c r="G28" s="12">
        <v>3.8138824999999999E-3</v>
      </c>
      <c r="H28" s="12">
        <v>0.25896262399999997</v>
      </c>
      <c r="I28" s="12">
        <v>0.58112698119999995</v>
      </c>
      <c r="J28" s="12">
        <v>0.61473724439999999</v>
      </c>
      <c r="K28" s="12">
        <f t="shared" si="0"/>
        <v>0.29180442407999996</v>
      </c>
      <c r="L28" s="12">
        <f>H28*1/2+J28*1/2</f>
        <v>0.43684993419999996</v>
      </c>
      <c r="M28" s="12">
        <f t="shared" si="12"/>
        <v>0.19510741733333331</v>
      </c>
    </row>
    <row r="29" spans="1:13" x14ac:dyDescent="0.2">
      <c r="A29" s="78"/>
      <c r="B29" s="4"/>
      <c r="C29" s="7"/>
      <c r="E29" s="4"/>
      <c r="F29" s="6"/>
      <c r="G29" s="6"/>
      <c r="H29" s="6"/>
      <c r="I29" s="6"/>
      <c r="J29" s="6"/>
    </row>
    <row r="30" spans="1:13" ht="20" x14ac:dyDescent="0.2">
      <c r="A30" s="78"/>
      <c r="B30" s="77" t="s">
        <v>81</v>
      </c>
      <c r="C30" s="75" t="s">
        <v>35</v>
      </c>
      <c r="D30" s="8" t="s">
        <v>140</v>
      </c>
      <c r="E30" s="9" t="s">
        <v>7</v>
      </c>
      <c r="F30" s="11">
        <v>4.5385202100000001E-2</v>
      </c>
      <c r="G30" s="11">
        <v>2.5171624699999999E-2</v>
      </c>
      <c r="H30" s="11">
        <v>0.74942791760000005</v>
      </c>
      <c r="I30" s="11">
        <v>0.85230850219999998</v>
      </c>
      <c r="J30" s="11">
        <v>0.64946929639999995</v>
      </c>
      <c r="K30" s="12">
        <f t="shared" si="0"/>
        <v>0.46435250859999999</v>
      </c>
      <c r="L30" s="12">
        <f t="shared" ref="L30:L48" si="13">H30*1/2+J30*1/2</f>
        <v>0.699448607</v>
      </c>
      <c r="M30" s="12">
        <f>F30*1/3+G30*1/3+I30*1/3</f>
        <v>0.30762177633333332</v>
      </c>
    </row>
    <row r="31" spans="1:13" ht="20" x14ac:dyDescent="0.2">
      <c r="A31" s="78"/>
      <c r="B31" s="77"/>
      <c r="C31" s="76"/>
      <c r="D31" s="5" t="s">
        <v>23</v>
      </c>
      <c r="E31" s="4" t="s">
        <v>8</v>
      </c>
      <c r="F31" s="12">
        <v>9.5347059999999998E-4</v>
      </c>
      <c r="G31" s="12">
        <v>4.5766590999999999E-3</v>
      </c>
      <c r="H31" s="12">
        <v>0.15331807780000001</v>
      </c>
      <c r="I31" s="12">
        <v>0.37985365679999999</v>
      </c>
      <c r="J31" s="12">
        <v>0.36610513039999998</v>
      </c>
      <c r="K31" s="12">
        <f t="shared" si="0"/>
        <v>0.18096139894000002</v>
      </c>
      <c r="L31" s="12">
        <f t="shared" si="13"/>
        <v>0.25971160409999999</v>
      </c>
      <c r="M31" s="12">
        <f t="shared" ref="M31:M32" si="14">F31*1/3+G31*1/3+I31*1/3</f>
        <v>0.12846126216666667</v>
      </c>
    </row>
    <row r="32" spans="1:13" ht="20" x14ac:dyDescent="0.2">
      <c r="A32" s="78"/>
      <c r="B32" s="77"/>
      <c r="C32" s="76"/>
      <c r="D32" s="5" t="s">
        <v>24</v>
      </c>
      <c r="E32" s="4" t="s">
        <v>9</v>
      </c>
      <c r="F32" s="6">
        <v>3.8138830000000002E-4</v>
      </c>
      <c r="G32" s="6">
        <v>5.3394356000000002E-3</v>
      </c>
      <c r="H32" s="6">
        <v>0.1487414188</v>
      </c>
      <c r="I32" s="6">
        <v>0.53002011719999997</v>
      </c>
      <c r="J32" s="6">
        <v>0.59878249289999996</v>
      </c>
      <c r="K32" s="12">
        <f>F32*1/5 +G32*1/5+H32*1/5+I32*1/5+J32*1/5</f>
        <v>0.25665297055999997</v>
      </c>
      <c r="L32" s="12">
        <f t="shared" si="13"/>
        <v>0.37376195584999999</v>
      </c>
      <c r="M32" s="12">
        <f t="shared" si="14"/>
        <v>0.17858031369999999</v>
      </c>
    </row>
    <row r="33" spans="1:13" x14ac:dyDescent="0.2">
      <c r="A33" s="4"/>
      <c r="B33" s="4"/>
      <c r="C33" s="4"/>
      <c r="E33" s="4"/>
      <c r="F33" s="6"/>
      <c r="G33" s="6"/>
      <c r="H33" s="6"/>
      <c r="I33" s="6"/>
      <c r="J33" s="6"/>
    </row>
    <row r="34" spans="1:13" ht="20" x14ac:dyDescent="0.2">
      <c r="A34" s="77" t="s">
        <v>50</v>
      </c>
      <c r="B34" s="77" t="s">
        <v>82</v>
      </c>
      <c r="C34" s="75" t="s">
        <v>28</v>
      </c>
      <c r="D34" s="5" t="s">
        <v>140</v>
      </c>
      <c r="E34" s="4" t="s">
        <v>7</v>
      </c>
      <c r="F34" s="12">
        <v>1.1814024399999999E-2</v>
      </c>
      <c r="G34" s="12">
        <v>2.6676829000000001E-3</v>
      </c>
      <c r="H34" s="12">
        <v>0.62461890239999995</v>
      </c>
      <c r="I34" s="12">
        <v>0.61594775769999999</v>
      </c>
      <c r="J34" s="12">
        <v>0.66839133620000002</v>
      </c>
      <c r="K34" s="12">
        <f t="shared" si="0"/>
        <v>0.38468794072000001</v>
      </c>
      <c r="L34" s="12">
        <f t="shared" si="13"/>
        <v>0.64650511929999999</v>
      </c>
      <c r="M34" s="12">
        <f>F34*1/3+G34*1/3+I34*1/3</f>
        <v>0.210143155</v>
      </c>
    </row>
    <row r="35" spans="1:13" ht="20" x14ac:dyDescent="0.2">
      <c r="A35" s="77"/>
      <c r="B35" s="77"/>
      <c r="C35" s="76"/>
      <c r="D35" s="5" t="s">
        <v>23</v>
      </c>
      <c r="E35" s="4" t="s">
        <v>8</v>
      </c>
      <c r="F35" s="12">
        <v>2.4009146299999999E-2</v>
      </c>
      <c r="G35" s="12">
        <v>5.7164633999999999E-3</v>
      </c>
      <c r="H35" s="12">
        <v>0.36547256099999997</v>
      </c>
      <c r="I35" s="12">
        <v>0.49941951550000002</v>
      </c>
      <c r="J35" s="12">
        <v>0.49771204279999998</v>
      </c>
      <c r="K35" s="12">
        <f t="shared" si="0"/>
        <v>0.27846594579999995</v>
      </c>
      <c r="L35" s="12">
        <f t="shared" si="13"/>
        <v>0.43159230189999997</v>
      </c>
      <c r="M35" s="12">
        <f t="shared" ref="M35:M36" si="15">F35*1/3+G35*1/3+I35*1/3</f>
        <v>0.1763817084</v>
      </c>
    </row>
    <row r="36" spans="1:13" ht="20" x14ac:dyDescent="0.2">
      <c r="A36" s="77"/>
      <c r="B36" s="77"/>
      <c r="C36" s="76"/>
      <c r="D36" s="5" t="s">
        <v>24</v>
      </c>
      <c r="E36" s="4" t="s">
        <v>9</v>
      </c>
      <c r="F36" s="12">
        <v>0</v>
      </c>
      <c r="G36" s="12">
        <v>1.06707317E-2</v>
      </c>
      <c r="H36" s="12">
        <v>0.19740853659999999</v>
      </c>
      <c r="I36" s="12">
        <v>0.44089801090000003</v>
      </c>
      <c r="J36" s="12">
        <v>0.35974137750000001</v>
      </c>
      <c r="K36" s="12">
        <f t="shared" si="0"/>
        <v>0.20174373134000001</v>
      </c>
      <c r="L36" s="12">
        <f t="shared" si="13"/>
        <v>0.27857495705000002</v>
      </c>
      <c r="M36" s="12">
        <f t="shared" si="15"/>
        <v>0.1505229142</v>
      </c>
    </row>
    <row r="37" spans="1:13" x14ac:dyDescent="0.2">
      <c r="A37" s="77"/>
      <c r="B37" s="4"/>
      <c r="C37" s="7"/>
      <c r="E37" s="4"/>
      <c r="F37" s="6"/>
      <c r="G37" s="6"/>
      <c r="H37" s="6"/>
      <c r="I37" s="6"/>
      <c r="J37" s="6"/>
    </row>
    <row r="38" spans="1:13" ht="20" x14ac:dyDescent="0.2">
      <c r="A38" s="77"/>
      <c r="B38" s="77" t="s">
        <v>83</v>
      </c>
      <c r="C38" s="75" t="s">
        <v>29</v>
      </c>
      <c r="D38" s="5" t="s">
        <v>140</v>
      </c>
      <c r="E38" s="4" t="s">
        <v>7</v>
      </c>
      <c r="F38" s="12">
        <v>5.7164629999999998E-4</v>
      </c>
      <c r="G38" s="12">
        <v>4.7637195000000002E-3</v>
      </c>
      <c r="H38" s="12">
        <v>0.60518292679999997</v>
      </c>
      <c r="I38" s="12">
        <v>0.62701617990000003</v>
      </c>
      <c r="J38" s="12">
        <v>0.68544860669999996</v>
      </c>
      <c r="K38" s="12">
        <f t="shared" si="0"/>
        <v>0.38459661583999999</v>
      </c>
      <c r="L38" s="12">
        <f t="shared" si="13"/>
        <v>0.64531576675000002</v>
      </c>
      <c r="M38" s="12">
        <f>F38*1/3+G38*1/3+I38*1/3</f>
        <v>0.21078384856666668</v>
      </c>
    </row>
    <row r="39" spans="1:13" ht="20" x14ac:dyDescent="0.2">
      <c r="A39" s="77"/>
      <c r="B39" s="77"/>
      <c r="C39" s="76"/>
      <c r="D39" s="8" t="s">
        <v>23</v>
      </c>
      <c r="E39" s="9" t="s">
        <v>8</v>
      </c>
      <c r="F39" s="11">
        <v>4.9161585399999999E-2</v>
      </c>
      <c r="G39" s="11">
        <v>1.31478658E-2</v>
      </c>
      <c r="H39" s="11">
        <v>0.71532012199999995</v>
      </c>
      <c r="I39" s="11">
        <v>0.86194404820000003</v>
      </c>
      <c r="J39" s="11">
        <v>0.73983099360000004</v>
      </c>
      <c r="K39" s="34">
        <f t="shared" si="0"/>
        <v>0.47588092300000001</v>
      </c>
      <c r="L39" s="12">
        <f t="shared" si="13"/>
        <v>0.72757555780000005</v>
      </c>
      <c r="M39" s="34">
        <f t="shared" ref="M39:M40" si="16">F39*1/3+G39*1/3+I39*1/3</f>
        <v>0.30808449979999997</v>
      </c>
    </row>
    <row r="40" spans="1:13" ht="20" x14ac:dyDescent="0.2">
      <c r="A40" s="77"/>
      <c r="B40" s="77"/>
      <c r="C40" s="76"/>
      <c r="D40" s="5" t="s">
        <v>24</v>
      </c>
      <c r="E40" s="4" t="s">
        <v>9</v>
      </c>
      <c r="F40" s="6">
        <v>7.6219510000000005E-4</v>
      </c>
      <c r="G40" s="6">
        <v>3.2393293000000001E-3</v>
      </c>
      <c r="H40" s="6">
        <v>0.78048780490000003</v>
      </c>
      <c r="I40" s="6">
        <v>0.47766805309999999</v>
      </c>
      <c r="J40" s="6">
        <v>0.50378384080000005</v>
      </c>
      <c r="K40" s="12">
        <f t="shared" si="0"/>
        <v>0.35318824463999998</v>
      </c>
      <c r="L40" s="12">
        <f t="shared" si="13"/>
        <v>0.64213582285000004</v>
      </c>
      <c r="M40" s="12">
        <f t="shared" si="16"/>
        <v>0.16055652583333335</v>
      </c>
    </row>
    <row r="41" spans="1:13" x14ac:dyDescent="0.2">
      <c r="A41" s="77"/>
      <c r="B41" s="4"/>
      <c r="C41" s="7"/>
      <c r="E41" s="4"/>
      <c r="F41" s="6"/>
      <c r="G41" s="6"/>
      <c r="H41" s="6"/>
      <c r="I41" s="6"/>
      <c r="J41" s="6"/>
    </row>
    <row r="42" spans="1:13" ht="20" x14ac:dyDescent="0.2">
      <c r="A42" s="77"/>
      <c r="B42" s="77" t="s">
        <v>84</v>
      </c>
      <c r="C42" s="75" t="s">
        <v>30</v>
      </c>
      <c r="D42" s="5" t="s">
        <v>140</v>
      </c>
      <c r="E42" s="4" t="s">
        <v>7</v>
      </c>
      <c r="F42" s="12">
        <v>7.2408537E-3</v>
      </c>
      <c r="G42" s="12">
        <v>9.3368902999999993E-3</v>
      </c>
      <c r="H42" s="12">
        <v>0.72789634150000004</v>
      </c>
      <c r="I42" s="12">
        <v>0.72569261240000005</v>
      </c>
      <c r="J42" s="12">
        <v>0.68594619649999999</v>
      </c>
      <c r="K42" s="12">
        <f t="shared" si="0"/>
        <v>0.43122257887999998</v>
      </c>
      <c r="L42" s="12">
        <f t="shared" si="13"/>
        <v>0.70692126899999996</v>
      </c>
      <c r="M42" s="12">
        <f>F42*1/3+G42*1/3+I42*1/3</f>
        <v>0.24742345213333333</v>
      </c>
    </row>
    <row r="43" spans="1:13" ht="20" x14ac:dyDescent="0.2">
      <c r="A43" s="77"/>
      <c r="B43" s="77"/>
      <c r="C43" s="76"/>
      <c r="D43" s="5" t="s">
        <v>23</v>
      </c>
      <c r="E43" s="4" t="s">
        <v>8</v>
      </c>
      <c r="F43" s="12">
        <v>7.6219510000000005E-4</v>
      </c>
      <c r="G43" s="12">
        <v>4.3826220000000001E-3</v>
      </c>
      <c r="H43" s="12">
        <v>0.25609756099999997</v>
      </c>
      <c r="I43" s="12">
        <v>0.3903245058</v>
      </c>
      <c r="J43" s="12">
        <v>0.35050324440000002</v>
      </c>
      <c r="K43" s="12">
        <f t="shared" si="0"/>
        <v>0.20041402565999999</v>
      </c>
      <c r="L43" s="12">
        <f t="shared" si="13"/>
        <v>0.30330040270000003</v>
      </c>
      <c r="M43" s="12">
        <f t="shared" ref="M43:M44" si="17">F43*1/3+G43*1/3+I43*1/3</f>
        <v>0.13182310763333333</v>
      </c>
    </row>
    <row r="44" spans="1:13" ht="20" x14ac:dyDescent="0.2">
      <c r="A44" s="77"/>
      <c r="B44" s="77"/>
      <c r="C44" s="76"/>
      <c r="D44" s="5" t="s">
        <v>24</v>
      </c>
      <c r="E44" s="4" t="s">
        <v>9</v>
      </c>
      <c r="F44" s="12">
        <v>5.7164629999999998E-4</v>
      </c>
      <c r="G44" s="12">
        <v>2.0960366000000001E-3</v>
      </c>
      <c r="H44" s="12">
        <v>0.16768292679999999</v>
      </c>
      <c r="I44" s="12">
        <v>0.52153423170000002</v>
      </c>
      <c r="J44" s="12">
        <v>0.53800463509999996</v>
      </c>
      <c r="K44" s="12">
        <f t="shared" si="0"/>
        <v>0.2459778953</v>
      </c>
      <c r="L44" s="12">
        <f t="shared" si="13"/>
        <v>0.35284378094999996</v>
      </c>
      <c r="M44" s="12">
        <f t="shared" si="17"/>
        <v>0.17473397153333334</v>
      </c>
    </row>
    <row r="45" spans="1:13" x14ac:dyDescent="0.2">
      <c r="A45" s="77"/>
      <c r="B45" s="4"/>
      <c r="C45" s="7"/>
      <c r="E45" s="4"/>
      <c r="F45" s="6"/>
      <c r="G45" s="6"/>
      <c r="H45" s="6"/>
      <c r="I45" s="6"/>
      <c r="J45" s="6"/>
    </row>
    <row r="46" spans="1:13" ht="20" x14ac:dyDescent="0.2">
      <c r="A46" s="77"/>
      <c r="B46" s="77" t="s">
        <v>85</v>
      </c>
      <c r="C46" s="75" t="s">
        <v>34</v>
      </c>
      <c r="D46" s="8" t="s">
        <v>140</v>
      </c>
      <c r="E46" s="9" t="s">
        <v>7</v>
      </c>
      <c r="F46" s="11">
        <v>5.7164629999999998E-4</v>
      </c>
      <c r="G46" s="11">
        <v>5.1448170999999999E-3</v>
      </c>
      <c r="H46" s="11">
        <v>0.77019817069999996</v>
      </c>
      <c r="I46" s="11">
        <v>0.68990504159999999</v>
      </c>
      <c r="J46" s="11">
        <v>0.82907810169999996</v>
      </c>
      <c r="K46" s="12">
        <f t="shared" si="0"/>
        <v>0.45897955547999991</v>
      </c>
      <c r="L46" s="34">
        <f t="shared" si="13"/>
        <v>0.79963813620000002</v>
      </c>
      <c r="M46" s="12">
        <f>F46*1/3+G46*1/3+I46*1/3</f>
        <v>0.231873835</v>
      </c>
    </row>
    <row r="47" spans="1:13" ht="20" x14ac:dyDescent="0.2">
      <c r="A47" s="77"/>
      <c r="B47" s="77"/>
      <c r="C47" s="76"/>
      <c r="D47" s="5" t="s">
        <v>23</v>
      </c>
      <c r="E47" s="4" t="s">
        <v>8</v>
      </c>
      <c r="F47" s="12">
        <v>3.8109759999999999E-4</v>
      </c>
      <c r="G47" s="12">
        <v>3.4298781E-3</v>
      </c>
      <c r="H47" s="12">
        <v>0.36775914630000001</v>
      </c>
      <c r="I47" s="12">
        <v>0.47550582689999998</v>
      </c>
      <c r="J47" s="12">
        <v>0.47833423320000001</v>
      </c>
      <c r="K47" s="12">
        <f t="shared" si="0"/>
        <v>0.26508203642</v>
      </c>
      <c r="L47" s="12">
        <f t="shared" si="13"/>
        <v>0.42304668975000004</v>
      </c>
      <c r="M47" s="12">
        <f t="shared" ref="M47:M48" si="18">F47*1/3+G47*1/3+I47*1/3</f>
        <v>0.15977226753333335</v>
      </c>
    </row>
    <row r="48" spans="1:13" ht="20" x14ac:dyDescent="0.2">
      <c r="A48" s="77"/>
      <c r="B48" s="77"/>
      <c r="C48" s="76"/>
      <c r="D48" s="5" t="s">
        <v>24</v>
      </c>
      <c r="E48" s="4" t="s">
        <v>9</v>
      </c>
      <c r="F48" s="6">
        <v>0</v>
      </c>
      <c r="G48" s="6">
        <v>2.2865854E-3</v>
      </c>
      <c r="H48" s="6">
        <v>1</v>
      </c>
      <c r="I48" s="6">
        <v>0.448357271</v>
      </c>
      <c r="J48" s="6">
        <v>0.4793704064</v>
      </c>
      <c r="K48" s="12">
        <f t="shared" si="0"/>
        <v>0.38600285256</v>
      </c>
      <c r="L48" s="12">
        <f t="shared" si="13"/>
        <v>0.73968520319999997</v>
      </c>
      <c r="M48" s="12">
        <f t="shared" si="18"/>
        <v>0.1502146188</v>
      </c>
    </row>
    <row r="51" spans="4:13" x14ac:dyDescent="0.2">
      <c r="E51" s="8" t="s">
        <v>38</v>
      </c>
      <c r="F51" s="11">
        <f>MAX(F2:F48)</f>
        <v>4.9161585399999999E-2</v>
      </c>
      <c r="G51" s="11">
        <f>MAX(G2:G48)</f>
        <v>2.5171624699999999E-2</v>
      </c>
      <c r="H51" s="11">
        <f>MAX(H2:H48)</f>
        <v>1</v>
      </c>
      <c r="I51" s="11">
        <f>MAX(I2:I48)</f>
        <v>0.86194404820000003</v>
      </c>
      <c r="J51" s="11">
        <f>MAX(J2:J48)</f>
        <v>0.82907810169999996</v>
      </c>
      <c r="K51" s="34">
        <f t="shared" ref="K51:L51" si="19">MAX(K2:K48)</f>
        <v>0.47588092300000001</v>
      </c>
      <c r="L51" s="34">
        <f t="shared" si="19"/>
        <v>0.79963813620000002</v>
      </c>
      <c r="M51" s="34">
        <f t="shared" ref="M51" si="20">MAX(M2:M48)</f>
        <v>0.30808449979999997</v>
      </c>
    </row>
    <row r="52" spans="4:13" x14ac:dyDescent="0.2">
      <c r="D52" s="5" t="s">
        <v>36</v>
      </c>
      <c r="E52" s="8" t="s">
        <v>37</v>
      </c>
      <c r="F52" s="11">
        <f>AVERAGE(F2:F48)</f>
        <v>9.5114872888888893E-3</v>
      </c>
      <c r="G52" s="11">
        <f>AVERAGE(G2:G48)</f>
        <v>6.17495376388889E-3</v>
      </c>
      <c r="H52" s="11">
        <f>AVERAGE(H2:H48)</f>
        <v>0.49217988547500002</v>
      </c>
      <c r="I52" s="11">
        <f>AVERAGE(I2:I48)</f>
        <v>0.58227571538055545</v>
      </c>
      <c r="J52" s="11">
        <f>AVERAGE(J2:J48)</f>
        <v>0.55798441819722222</v>
      </c>
      <c r="K52" s="34">
        <f t="shared" ref="K52:L52" si="21">AVERAGE(K2:K48)</f>
        <v>0.32962529202111118</v>
      </c>
      <c r="L52" s="34">
        <f t="shared" si="21"/>
        <v>0.52508215183611118</v>
      </c>
      <c r="M52" s="34">
        <f t="shared" ref="M52" si="22">AVERAGE(M2:M48)</f>
        <v>0.1993207188111111</v>
      </c>
    </row>
    <row r="53" spans="4:13" x14ac:dyDescent="0.2">
      <c r="E53" s="8" t="s">
        <v>86</v>
      </c>
      <c r="F53" s="11">
        <f t="shared" ref="F53:L53" si="23">MIN(F2:F48)</f>
        <v>0</v>
      </c>
      <c r="G53" s="11">
        <f t="shared" si="23"/>
        <v>3.8138830000000002E-4</v>
      </c>
      <c r="H53" s="11">
        <f t="shared" si="23"/>
        <v>2.7078565999999998E-2</v>
      </c>
      <c r="I53" s="11">
        <f t="shared" si="23"/>
        <v>0.30229342920000002</v>
      </c>
      <c r="J53" s="11">
        <f t="shared" si="23"/>
        <v>0.19462933560000001</v>
      </c>
      <c r="K53" s="34">
        <f t="shared" si="23"/>
        <v>0.10583001444000001</v>
      </c>
      <c r="L53" s="34">
        <f t="shared" si="23"/>
        <v>0.11161672730000001</v>
      </c>
      <c r="M53" s="34">
        <f t="shared" ref="M53" si="24">MIN(M2:M48)</f>
        <v>0.10197220586666668</v>
      </c>
    </row>
  </sheetData>
  <mergeCells count="26">
    <mergeCell ref="B2:B4"/>
    <mergeCell ref="A2:A32"/>
    <mergeCell ref="C2:C4"/>
    <mergeCell ref="B6:B8"/>
    <mergeCell ref="C6:C8"/>
    <mergeCell ref="B10:B12"/>
    <mergeCell ref="C10:C12"/>
    <mergeCell ref="B14:B16"/>
    <mergeCell ref="C14:C16"/>
    <mergeCell ref="B18:B20"/>
    <mergeCell ref="C18:C20"/>
    <mergeCell ref="B22:B24"/>
    <mergeCell ref="C22:C24"/>
    <mergeCell ref="B26:B28"/>
    <mergeCell ref="C26:C28"/>
    <mergeCell ref="B30:B32"/>
    <mergeCell ref="C30:C32"/>
    <mergeCell ref="B34:B36"/>
    <mergeCell ref="A34:A48"/>
    <mergeCell ref="C34:C36"/>
    <mergeCell ref="B38:B40"/>
    <mergeCell ref="C38:C40"/>
    <mergeCell ref="B42:B44"/>
    <mergeCell ref="C42:C44"/>
    <mergeCell ref="B46:B48"/>
    <mergeCell ref="C46:C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09FB-0B35-7D40-BCF6-2631A2817EA3}">
  <dimension ref="A1:L54"/>
  <sheetViews>
    <sheetView tabSelected="1" zoomScale="90" workbookViewId="0">
      <pane ySplit="1" topLeftCell="A9" activePane="bottomLeft" state="frozen"/>
      <selection pane="bottomLeft" activeCell="E31" sqref="E31"/>
    </sheetView>
  </sheetViews>
  <sheetFormatPr baseColWidth="10" defaultColWidth="8.83203125" defaultRowHeight="19" x14ac:dyDescent="0.2"/>
  <cols>
    <col min="1" max="1" width="37.83203125" style="5" customWidth="1"/>
    <col min="2" max="2" width="15" style="5" customWidth="1"/>
    <col min="3" max="10" width="17.5" style="12" customWidth="1"/>
    <col min="11" max="16384" width="8.83203125" style="5"/>
  </cols>
  <sheetData>
    <row r="1" spans="1:10" s="18" customFormat="1" ht="111" thickBot="1" x14ac:dyDescent="0.25">
      <c r="A1" s="16" t="s">
        <v>53</v>
      </c>
      <c r="B1" s="16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29" t="s">
        <v>54</v>
      </c>
      <c r="I1" s="29" t="s">
        <v>55</v>
      </c>
      <c r="J1" s="29" t="s">
        <v>87</v>
      </c>
    </row>
    <row r="2" spans="1:10" ht="20" x14ac:dyDescent="0.2">
      <c r="A2" s="86" t="s">
        <v>83</v>
      </c>
      <c r="B2" s="89" t="s">
        <v>8</v>
      </c>
      <c r="C2" s="88">
        <v>4.9161585399999999E-2</v>
      </c>
      <c r="D2" s="88">
        <v>1.31478658E-2</v>
      </c>
      <c r="E2" s="88">
        <v>0.71532012199999995</v>
      </c>
      <c r="F2" s="88">
        <v>0.86194404820000003</v>
      </c>
      <c r="G2" s="88">
        <v>0.73983099360000004</v>
      </c>
      <c r="H2" s="88">
        <f>C2*1/5 +D2*1/5+E2*1/5+F2*1/5+G2*1/5</f>
        <v>0.47588092300000001</v>
      </c>
      <c r="I2" s="88">
        <f>E2*1/2+G2*1/2</f>
        <v>0.72757555780000005</v>
      </c>
      <c r="J2" s="88">
        <f>C2*1/3+D2*1/3+F2*1/3</f>
        <v>0.30808449979999997</v>
      </c>
    </row>
    <row r="3" spans="1:10" ht="40" x14ac:dyDescent="0.2">
      <c r="A3" s="86" t="s">
        <v>81</v>
      </c>
      <c r="B3" s="89" t="s">
        <v>7</v>
      </c>
      <c r="C3" s="88">
        <v>4.5385202100000001E-2</v>
      </c>
      <c r="D3" s="88">
        <v>2.5171624699999999E-2</v>
      </c>
      <c r="E3" s="88">
        <v>0.74942791760000005</v>
      </c>
      <c r="F3" s="88">
        <v>0.85230850219999998</v>
      </c>
      <c r="G3" s="88">
        <v>0.64946929639999995</v>
      </c>
      <c r="H3" s="88">
        <f>C3*1/5 +D3*1/5+E3*1/5+F3*1/5+G3*1/5</f>
        <v>0.46435250859999999</v>
      </c>
      <c r="I3" s="88">
        <f>E3*1/2+G3*1/2</f>
        <v>0.699448607</v>
      </c>
      <c r="J3" s="88">
        <f>C3*1/3+D3*1/3+F3*1/3</f>
        <v>0.30762177633333332</v>
      </c>
    </row>
    <row r="4" spans="1:10" ht="20" x14ac:dyDescent="0.2">
      <c r="A4" s="86" t="s">
        <v>80</v>
      </c>
      <c r="B4" s="89" t="s">
        <v>7</v>
      </c>
      <c r="C4" s="88">
        <v>1.83066362E-2</v>
      </c>
      <c r="D4" s="88">
        <v>9.1533181000000002E-3</v>
      </c>
      <c r="E4" s="88">
        <v>0.74713958810000003</v>
      </c>
      <c r="F4" s="88">
        <v>0.84097820459999995</v>
      </c>
      <c r="G4" s="88">
        <v>0.65728491980000003</v>
      </c>
      <c r="H4" s="88">
        <f>C4*1/5 +D4*1/5+E4*1/5+F4*1/5+G4*1/5</f>
        <v>0.45457253335999998</v>
      </c>
      <c r="I4" s="88">
        <f>E4*1/2+G4*1/2</f>
        <v>0.70221225394999998</v>
      </c>
      <c r="J4" s="88">
        <f>C4*1/3+D4*1/3+F4*1/3</f>
        <v>0.28947938629999997</v>
      </c>
    </row>
    <row r="5" spans="1:10" ht="20" x14ac:dyDescent="0.2">
      <c r="A5" s="86" t="s">
        <v>75</v>
      </c>
      <c r="B5" s="89" t="s">
        <v>7</v>
      </c>
      <c r="C5" s="88">
        <v>3.56598017E-2</v>
      </c>
      <c r="D5" s="88">
        <v>1.14416476E-2</v>
      </c>
      <c r="E5" s="88">
        <v>0.65484363079999997</v>
      </c>
      <c r="F5" s="88">
        <v>0.75059192720000001</v>
      </c>
      <c r="G5" s="88">
        <v>0.59952031800000005</v>
      </c>
      <c r="H5" s="88">
        <f>C5*1/5 +D5*1/5+E5*1/5+F5*1/5+G5*1/5</f>
        <v>0.41041146505999998</v>
      </c>
      <c r="I5" s="88">
        <f>E5*1/2+G5*1/2</f>
        <v>0.62718197440000001</v>
      </c>
      <c r="J5" s="88">
        <f>C5*1/3+D5*1/3+F5*1/3</f>
        <v>0.26589779216666665</v>
      </c>
    </row>
    <row r="6" spans="1:10" ht="20" x14ac:dyDescent="0.2">
      <c r="A6" s="86" t="s">
        <v>76</v>
      </c>
      <c r="B6" s="89" t="s">
        <v>7</v>
      </c>
      <c r="C6" s="88">
        <v>1.3539282999999999E-2</v>
      </c>
      <c r="D6" s="88">
        <v>7.437071E-3</v>
      </c>
      <c r="E6" s="88">
        <v>0.68192219679999999</v>
      </c>
      <c r="F6" s="88">
        <v>0.76195930150000002</v>
      </c>
      <c r="G6" s="88">
        <v>0.65195960269999997</v>
      </c>
      <c r="H6" s="88">
        <f>C6*1/5 +D6*1/5+E6*1/5+F6*1/5+G6*1/5</f>
        <v>0.42336349099999998</v>
      </c>
      <c r="I6" s="88">
        <f>E6*1/2+G6*1/2</f>
        <v>0.66694089974999993</v>
      </c>
      <c r="J6" s="88">
        <f>C6*1/3+D6*1/3+F6*1/3</f>
        <v>0.26097855183333335</v>
      </c>
    </row>
    <row r="7" spans="1:10" ht="20" x14ac:dyDescent="0.2">
      <c r="A7" s="86" t="s">
        <v>80</v>
      </c>
      <c r="B7" s="89" t="s">
        <v>8</v>
      </c>
      <c r="C7" s="88">
        <v>6.2929062000000001E-3</v>
      </c>
      <c r="D7" s="88">
        <v>1.5064836E-2</v>
      </c>
      <c r="E7" s="88">
        <v>0.65980167810000001</v>
      </c>
      <c r="F7" s="88">
        <v>0.75336811260000003</v>
      </c>
      <c r="G7" s="88">
        <v>0.59480806279999998</v>
      </c>
      <c r="H7" s="88">
        <f>C7*1/5 +D7*1/5+E7*1/5+F7*1/5+G7*1/5</f>
        <v>0.40586711914000001</v>
      </c>
      <c r="I7" s="88">
        <f>E7*1/2+G7*1/2</f>
        <v>0.62730487044999994</v>
      </c>
      <c r="J7" s="88">
        <f>C7*1/3+D7*1/3+F7*1/3</f>
        <v>0.25824195159999996</v>
      </c>
    </row>
    <row r="8" spans="1:10" ht="20" x14ac:dyDescent="0.2">
      <c r="A8" s="86" t="s">
        <v>79</v>
      </c>
      <c r="B8" s="89" t="s">
        <v>7</v>
      </c>
      <c r="C8" s="88">
        <v>1.8688024399999999E-2</v>
      </c>
      <c r="D8" s="88">
        <v>1.6209000800000001E-2</v>
      </c>
      <c r="E8" s="88">
        <v>0.64340198319999997</v>
      </c>
      <c r="F8" s="88">
        <v>0.73541693649999995</v>
      </c>
      <c r="G8" s="88">
        <v>0.57155276239999997</v>
      </c>
      <c r="H8" s="88">
        <f>C8*1/5 +D8*1/5+E8*1/5+F8*1/5+G8*1/5</f>
        <v>0.39705374145999994</v>
      </c>
      <c r="I8" s="88">
        <f>E8*1/2+G8*1/2</f>
        <v>0.60747737280000003</v>
      </c>
      <c r="J8" s="88">
        <f>C8*1/3+D8*1/3+F8*1/3</f>
        <v>0.25677132056666668</v>
      </c>
    </row>
    <row r="9" spans="1:10" ht="20" x14ac:dyDescent="0.2">
      <c r="A9" s="86" t="s">
        <v>78</v>
      </c>
      <c r="B9" s="89" t="s">
        <v>7</v>
      </c>
      <c r="C9" s="88">
        <v>1.5636918400000002E-2</v>
      </c>
      <c r="D9" s="88">
        <v>6.2929062000000001E-3</v>
      </c>
      <c r="E9" s="88">
        <v>0.77612509529999996</v>
      </c>
      <c r="F9" s="88">
        <v>0.74139800369999997</v>
      </c>
      <c r="G9" s="88">
        <v>0.74694543889999998</v>
      </c>
      <c r="H9" s="88">
        <f>C9*1/5 +D9*1/5+E9*1/5+F9*1/5+G9*1/5</f>
        <v>0.45727967249999996</v>
      </c>
      <c r="I9" s="88">
        <f>E9*1/2+G9*1/2</f>
        <v>0.76153526709999997</v>
      </c>
      <c r="J9" s="88">
        <f>C9*1/3+D9*1/3+F9*1/3</f>
        <v>0.2544426094333333</v>
      </c>
    </row>
    <row r="10" spans="1:10" ht="20" x14ac:dyDescent="0.2">
      <c r="A10" s="86" t="s">
        <v>84</v>
      </c>
      <c r="B10" s="89" t="s">
        <v>7</v>
      </c>
      <c r="C10" s="88">
        <v>7.2408537E-3</v>
      </c>
      <c r="D10" s="88">
        <v>9.3368902999999993E-3</v>
      </c>
      <c r="E10" s="88">
        <v>0.72789634150000004</v>
      </c>
      <c r="F10" s="88">
        <v>0.72569261240000005</v>
      </c>
      <c r="G10" s="88">
        <v>0.68594619649999999</v>
      </c>
      <c r="H10" s="88">
        <f>C10*1/5 +D10*1/5+E10*1/5+F10*1/5+G10*1/5</f>
        <v>0.43122257887999998</v>
      </c>
      <c r="I10" s="88">
        <f>E10*1/2+G10*1/2</f>
        <v>0.70692126899999996</v>
      </c>
      <c r="J10" s="88">
        <f>C10*1/3+D10*1/3+F10*1/3</f>
        <v>0.24742345213333333</v>
      </c>
    </row>
    <row r="11" spans="1:10" ht="20" x14ac:dyDescent="0.2">
      <c r="A11" s="86" t="s">
        <v>77</v>
      </c>
      <c r="B11" s="89" t="s">
        <v>7</v>
      </c>
      <c r="C11" s="88">
        <v>2.7841342500000001E-2</v>
      </c>
      <c r="D11" s="88">
        <v>9.3440121999999997E-3</v>
      </c>
      <c r="E11" s="88">
        <v>0.66628527839999996</v>
      </c>
      <c r="F11" s="88">
        <v>0.68165094780000002</v>
      </c>
      <c r="G11" s="88">
        <v>0.656536805</v>
      </c>
      <c r="H11" s="88">
        <f>C11*1/5 +D11*1/5+E11*1/5+F11*1/5+G11*1/5</f>
        <v>0.40833167718000002</v>
      </c>
      <c r="I11" s="88">
        <f>E11*1/2+G11*1/2</f>
        <v>0.66141104169999998</v>
      </c>
      <c r="J11" s="88">
        <f>C11*1/3+D11*1/3+F11*1/3</f>
        <v>0.23961210083333334</v>
      </c>
    </row>
    <row r="12" spans="1:10" ht="20" x14ac:dyDescent="0.2">
      <c r="A12" s="86" t="s">
        <v>74</v>
      </c>
      <c r="B12" s="89" t="s">
        <v>7</v>
      </c>
      <c r="C12" s="88">
        <v>3.8901601799999998E-2</v>
      </c>
      <c r="D12" s="88">
        <v>6.1022120000000001E-3</v>
      </c>
      <c r="E12" s="88">
        <v>0.63958810070000005</v>
      </c>
      <c r="F12" s="88">
        <v>0.6580912753</v>
      </c>
      <c r="G12" s="88">
        <v>0.68471369510000002</v>
      </c>
      <c r="H12" s="88">
        <f>C12*1/5 +D12*1/5+E12*1/5+F12*1/5+G12*1/5</f>
        <v>0.40547937698000003</v>
      </c>
      <c r="I12" s="88">
        <f>E12*1/2+G12*1/2</f>
        <v>0.66215089790000004</v>
      </c>
      <c r="J12" s="88">
        <f>C12*1/3+D12*1/3+F12*1/3</f>
        <v>0.2343650297</v>
      </c>
    </row>
    <row r="13" spans="1:10" ht="20" x14ac:dyDescent="0.2">
      <c r="A13" s="86" t="s">
        <v>85</v>
      </c>
      <c r="B13" s="89" t="s">
        <v>7</v>
      </c>
      <c r="C13" s="88">
        <v>5.7164629999999998E-4</v>
      </c>
      <c r="D13" s="88">
        <v>5.1448170999999999E-3</v>
      </c>
      <c r="E13" s="88">
        <v>0.77019817069999996</v>
      </c>
      <c r="F13" s="88">
        <v>0.68990504159999999</v>
      </c>
      <c r="G13" s="88">
        <v>0.82907810169999996</v>
      </c>
      <c r="H13" s="88">
        <f>C13*1/5 +D13*1/5+E13*1/5+F13*1/5+G13*1/5</f>
        <v>0.45897955547999991</v>
      </c>
      <c r="I13" s="88">
        <f>E13*1/2+G13*1/2</f>
        <v>0.79963813620000002</v>
      </c>
      <c r="J13" s="88">
        <f>C13*1/3+D13*1/3+F13*1/3</f>
        <v>0.231873835</v>
      </c>
    </row>
    <row r="14" spans="1:10" ht="20" x14ac:dyDescent="0.2">
      <c r="A14" s="86" t="s">
        <v>76</v>
      </c>
      <c r="B14" s="89" t="s">
        <v>8</v>
      </c>
      <c r="C14" s="88">
        <v>4.3859648999999999E-3</v>
      </c>
      <c r="D14" s="88">
        <v>3.8138830000000002E-4</v>
      </c>
      <c r="E14" s="88">
        <v>0.81388253239999997</v>
      </c>
      <c r="F14" s="88">
        <v>0.62862944050000003</v>
      </c>
      <c r="G14" s="88">
        <v>0.64003247760000004</v>
      </c>
      <c r="H14" s="88">
        <f>C14*1/5 +D14*1/5+E14*1/5+F14*1/5+G14*1/5</f>
        <v>0.41746236073999998</v>
      </c>
      <c r="I14" s="88">
        <f>E14*1/2+G14*1/2</f>
        <v>0.726957505</v>
      </c>
      <c r="J14" s="88">
        <f>C14*1/3+D14*1/3+F14*1/3</f>
        <v>0.21113226456666667</v>
      </c>
    </row>
    <row r="15" spans="1:10" ht="20" x14ac:dyDescent="0.2">
      <c r="A15" s="86" t="s">
        <v>83</v>
      </c>
      <c r="B15" s="89" t="s">
        <v>7</v>
      </c>
      <c r="C15" s="88">
        <v>5.7164629999999998E-4</v>
      </c>
      <c r="D15" s="88">
        <v>4.7637195000000002E-3</v>
      </c>
      <c r="E15" s="88">
        <v>0.60518292679999997</v>
      </c>
      <c r="F15" s="88">
        <v>0.62701617990000003</v>
      </c>
      <c r="G15" s="88">
        <v>0.68544860669999996</v>
      </c>
      <c r="H15" s="88">
        <f>C15*1/5 +D15*1/5+E15*1/5+F15*1/5+G15*1/5</f>
        <v>0.38459661583999999</v>
      </c>
      <c r="I15" s="88">
        <f>E15*1/2+G15*1/2</f>
        <v>0.64531576675000002</v>
      </c>
      <c r="J15" s="88">
        <f>C15*1/3+D15*1/3+F15*1/3</f>
        <v>0.21078384856666668</v>
      </c>
    </row>
    <row r="16" spans="1:10" ht="20" x14ac:dyDescent="0.2">
      <c r="A16" s="86" t="s">
        <v>82</v>
      </c>
      <c r="B16" s="89" t="s">
        <v>7</v>
      </c>
      <c r="C16" s="88">
        <v>1.1814024399999999E-2</v>
      </c>
      <c r="D16" s="88">
        <v>2.6676829000000001E-3</v>
      </c>
      <c r="E16" s="88">
        <v>0.62461890239999995</v>
      </c>
      <c r="F16" s="88">
        <v>0.61594775769999999</v>
      </c>
      <c r="G16" s="88">
        <v>0.66839133620000002</v>
      </c>
      <c r="H16" s="88">
        <f>C16*1/5 +D16*1/5+E16*1/5+F16*1/5+G16*1/5</f>
        <v>0.38468794072000001</v>
      </c>
      <c r="I16" s="88">
        <f>E16*1/2+G16*1/2</f>
        <v>0.64650511929999999</v>
      </c>
      <c r="J16" s="88">
        <f>C16*1/3+D16*1/3+F16*1/3</f>
        <v>0.210143155</v>
      </c>
    </row>
    <row r="17" spans="1:10" ht="20" x14ac:dyDescent="0.2">
      <c r="A17" s="86" t="s">
        <v>79</v>
      </c>
      <c r="B17" s="89" t="s">
        <v>9</v>
      </c>
      <c r="C17" s="88">
        <v>5.7208240000000004E-4</v>
      </c>
      <c r="D17" s="88">
        <v>2.8604119000000001E-3</v>
      </c>
      <c r="E17" s="88">
        <v>0.408085431</v>
      </c>
      <c r="F17" s="88">
        <v>0.61558054129999995</v>
      </c>
      <c r="G17" s="88">
        <v>0.64331702260000001</v>
      </c>
      <c r="H17" s="88">
        <f>C17*1/5 +D17*1/5+E17*1/5+F17*1/5+G17*1/5</f>
        <v>0.33408309784000001</v>
      </c>
      <c r="I17" s="88">
        <f>E17*1/2+G17*1/2</f>
        <v>0.52570122679999998</v>
      </c>
      <c r="J17" s="88">
        <f>C17*1/3+D17*1/3+F17*1/3</f>
        <v>0.20633767853333332</v>
      </c>
    </row>
    <row r="18" spans="1:10" ht="20" x14ac:dyDescent="0.2">
      <c r="A18" s="86" t="s">
        <v>80</v>
      </c>
      <c r="B18" s="89" t="s">
        <v>9</v>
      </c>
      <c r="C18" s="88">
        <v>3.8138830000000002E-4</v>
      </c>
      <c r="D18" s="88">
        <v>3.8138824999999999E-3</v>
      </c>
      <c r="E18" s="88">
        <v>0.25896262399999997</v>
      </c>
      <c r="F18" s="88">
        <v>0.58112698119999995</v>
      </c>
      <c r="G18" s="88">
        <v>0.61473724439999999</v>
      </c>
      <c r="H18" s="88">
        <f>C18*1/5 +D18*1/5+E18*1/5+F18*1/5+G18*1/5</f>
        <v>0.29180442407999996</v>
      </c>
      <c r="I18" s="88">
        <f>E18*1/2+G18*1/2</f>
        <v>0.43684993419999996</v>
      </c>
      <c r="J18" s="88">
        <f>C18*1/3+D18*1/3+F18*1/3</f>
        <v>0.19510741733333331</v>
      </c>
    </row>
    <row r="19" spans="1:10" ht="20" x14ac:dyDescent="0.2">
      <c r="A19" s="86" t="s">
        <v>74</v>
      </c>
      <c r="B19" s="89" t="s">
        <v>9</v>
      </c>
      <c r="C19" s="88">
        <v>3.8138830000000002E-4</v>
      </c>
      <c r="D19" s="88">
        <v>2.6697177000000001E-3</v>
      </c>
      <c r="E19" s="88">
        <v>0.79366895500000001</v>
      </c>
      <c r="F19" s="88">
        <v>0.57090215860000004</v>
      </c>
      <c r="G19" s="88">
        <v>0.58510193919999998</v>
      </c>
      <c r="H19" s="88">
        <f>C19*1/5 +D19*1/5+E19*1/5+F19*1/5+G19*1/5</f>
        <v>0.39054483175999999</v>
      </c>
      <c r="I19" s="88">
        <f>E19*1/2+G19*1/2</f>
        <v>0.68938544710000005</v>
      </c>
      <c r="J19" s="88">
        <f>C19*1/3+D19*1/3+F19*1/3</f>
        <v>0.19131775486666669</v>
      </c>
    </row>
    <row r="20" spans="1:10" ht="20" x14ac:dyDescent="0.2">
      <c r="A20" s="86" t="s">
        <v>75</v>
      </c>
      <c r="B20" s="89" t="s">
        <v>9</v>
      </c>
      <c r="C20" s="88">
        <v>0</v>
      </c>
      <c r="D20" s="88">
        <v>5.3394356000000002E-3</v>
      </c>
      <c r="E20" s="88">
        <v>0.96948893970000005</v>
      </c>
      <c r="F20" s="88">
        <v>0.54854145649999997</v>
      </c>
      <c r="G20" s="88">
        <v>0.61895662200000001</v>
      </c>
      <c r="H20" s="88">
        <f>C20*1/5 +D20*1/5+E20*1/5+F20*1/5+G20*1/5</f>
        <v>0.42846529076000001</v>
      </c>
      <c r="I20" s="88">
        <f>E20*1/2+G20*1/2</f>
        <v>0.79422278084999998</v>
      </c>
      <c r="J20" s="88">
        <f>C20*1/3+D20*1/3+F20*1/3</f>
        <v>0.18462696403333334</v>
      </c>
    </row>
    <row r="21" spans="1:10" ht="40" x14ac:dyDescent="0.2">
      <c r="A21" s="86" t="s">
        <v>81</v>
      </c>
      <c r="B21" s="89" t="s">
        <v>9</v>
      </c>
      <c r="C21" s="90">
        <v>3.8138830000000002E-4</v>
      </c>
      <c r="D21" s="90">
        <v>5.3394356000000002E-3</v>
      </c>
      <c r="E21" s="90">
        <v>0.1487414188</v>
      </c>
      <c r="F21" s="90">
        <v>0.53002011719999997</v>
      </c>
      <c r="G21" s="90">
        <v>0.59878249289999996</v>
      </c>
      <c r="H21" s="88">
        <f>C21*1/5 +D21*1/5+E21*1/5+F21*1/5+G21*1/5</f>
        <v>0.25665297055999997</v>
      </c>
      <c r="I21" s="88">
        <f>E21*1/2+G21*1/2</f>
        <v>0.37376195584999999</v>
      </c>
      <c r="J21" s="88">
        <f>C21*1/3+D21*1/3+F21*1/3</f>
        <v>0.17858031369999999</v>
      </c>
    </row>
    <row r="22" spans="1:10" ht="20" x14ac:dyDescent="0.2">
      <c r="A22" s="86" t="s">
        <v>74</v>
      </c>
      <c r="B22" s="89" t="s">
        <v>8</v>
      </c>
      <c r="C22" s="88">
        <v>1.75438596E-2</v>
      </c>
      <c r="D22" s="88">
        <v>3.6231884E-3</v>
      </c>
      <c r="E22" s="88">
        <v>0.26926010680000001</v>
      </c>
      <c r="F22" s="88">
        <v>0.50990095319999995</v>
      </c>
      <c r="G22" s="88">
        <v>0.49317243570000002</v>
      </c>
      <c r="H22" s="88">
        <f>C22*1/5 +D22*1/5+E22*1/5+F22*1/5+G22*1/5</f>
        <v>0.25870010873999999</v>
      </c>
      <c r="I22" s="88">
        <f>E22*1/2+G22*1/2</f>
        <v>0.38121627125000002</v>
      </c>
      <c r="J22" s="88">
        <f>C22*1/3+D22*1/3+F22*1/3</f>
        <v>0.17702266706666667</v>
      </c>
    </row>
    <row r="23" spans="1:10" ht="20" x14ac:dyDescent="0.2">
      <c r="A23" s="86" t="s">
        <v>82</v>
      </c>
      <c r="B23" s="89" t="s">
        <v>8</v>
      </c>
      <c r="C23" s="88">
        <v>2.4009146299999999E-2</v>
      </c>
      <c r="D23" s="88">
        <v>5.7164633999999999E-3</v>
      </c>
      <c r="E23" s="88">
        <v>0.36547256099999997</v>
      </c>
      <c r="F23" s="88">
        <v>0.49941951550000002</v>
      </c>
      <c r="G23" s="88">
        <v>0.49771204279999998</v>
      </c>
      <c r="H23" s="88">
        <f>C23*1/5 +D23*1/5+E23*1/5+F23*1/5+G23*1/5</f>
        <v>0.27846594579999995</v>
      </c>
      <c r="I23" s="88">
        <f>E23*1/2+G23*1/2</f>
        <v>0.43159230189999997</v>
      </c>
      <c r="J23" s="88">
        <f>C23*1/3+D23*1/3+F23*1/3</f>
        <v>0.1763817084</v>
      </c>
    </row>
    <row r="24" spans="1:10" ht="20" x14ac:dyDescent="0.2">
      <c r="A24" s="86" t="s">
        <v>84</v>
      </c>
      <c r="B24" s="89" t="s">
        <v>9</v>
      </c>
      <c r="C24" s="88">
        <v>5.7164629999999998E-4</v>
      </c>
      <c r="D24" s="88">
        <v>2.0960366000000001E-3</v>
      </c>
      <c r="E24" s="88">
        <v>0.16768292679999999</v>
      </c>
      <c r="F24" s="88">
        <v>0.52153423170000002</v>
      </c>
      <c r="G24" s="88">
        <v>0.53800463509999996</v>
      </c>
      <c r="H24" s="88">
        <f>C24*1/5 +D24*1/5+E24*1/5+F24*1/5+G24*1/5</f>
        <v>0.2459778953</v>
      </c>
      <c r="I24" s="88">
        <f>E24*1/2+G24*1/2</f>
        <v>0.35284378094999996</v>
      </c>
      <c r="J24" s="88">
        <f>C24*1/3+D24*1/3+F24*1/3</f>
        <v>0.17473397153333334</v>
      </c>
    </row>
    <row r="25" spans="1:10" ht="20" x14ac:dyDescent="0.2">
      <c r="A25" s="86" t="s">
        <v>77</v>
      </c>
      <c r="B25" s="89" t="s">
        <v>8</v>
      </c>
      <c r="C25" s="88">
        <v>1.9069409999999999E-4</v>
      </c>
      <c r="D25" s="88">
        <v>2.4790237000000001E-3</v>
      </c>
      <c r="E25" s="88">
        <v>0.26735316549999999</v>
      </c>
      <c r="F25" s="88">
        <v>0.51288884690000003</v>
      </c>
      <c r="G25" s="88">
        <v>0.4966505316</v>
      </c>
      <c r="H25" s="88">
        <f>C25*1/5 +D25*1/5+E25*1/5+F25*1/5+G25*1/5</f>
        <v>0.25591245235999999</v>
      </c>
      <c r="I25" s="88">
        <f>E25*1/2+G25*1/2</f>
        <v>0.38200184854999997</v>
      </c>
      <c r="J25" s="88">
        <f>C25*1/3+D25*1/3+F25*1/3</f>
        <v>0.17185285489999999</v>
      </c>
    </row>
    <row r="26" spans="1:10" ht="20" x14ac:dyDescent="0.2">
      <c r="A26" s="86" t="s">
        <v>75</v>
      </c>
      <c r="B26" s="89" t="s">
        <v>8</v>
      </c>
      <c r="C26" s="88">
        <v>0</v>
      </c>
      <c r="D26" s="88">
        <v>2.6697178000000001E-3</v>
      </c>
      <c r="E26" s="88">
        <v>0.31807780320000001</v>
      </c>
      <c r="F26" s="88">
        <v>0.49853525259999998</v>
      </c>
      <c r="G26" s="88">
        <v>0.49760901740000002</v>
      </c>
      <c r="H26" s="88">
        <f>C26*1/5 +D26*1/5+E26*1/5+F26*1/5+G26*1/5</f>
        <v>0.2633783582</v>
      </c>
      <c r="I26" s="88">
        <f>E26*1/2+G26*1/2</f>
        <v>0.40784341030000004</v>
      </c>
      <c r="J26" s="88">
        <f>C26*1/3+D26*1/3+F26*1/3</f>
        <v>0.16706832346666664</v>
      </c>
    </row>
    <row r="27" spans="1:10" ht="20" x14ac:dyDescent="0.2">
      <c r="A27" s="86" t="s">
        <v>78</v>
      </c>
      <c r="B27" s="89" t="s">
        <v>8</v>
      </c>
      <c r="C27" s="88">
        <v>1.9069409999999999E-4</v>
      </c>
      <c r="D27" s="88">
        <v>3.2418001E-3</v>
      </c>
      <c r="E27" s="88">
        <v>0.29099923719999998</v>
      </c>
      <c r="F27" s="88">
        <v>0.48040252360000002</v>
      </c>
      <c r="G27" s="88">
        <v>0.47678633349999999</v>
      </c>
      <c r="H27" s="88">
        <f>C27*1/5 +D27*1/5+E27*1/5+F27*1/5+G27*1/5</f>
        <v>0.25032411769999996</v>
      </c>
      <c r="I27" s="88">
        <f>E27*1/2+G27*1/2</f>
        <v>0.38389278534999999</v>
      </c>
      <c r="J27" s="88">
        <f>C27*1/3+D27*1/3+F27*1/3</f>
        <v>0.16127833926666668</v>
      </c>
    </row>
    <row r="28" spans="1:10" ht="20" x14ac:dyDescent="0.2">
      <c r="A28" s="86" t="s">
        <v>83</v>
      </c>
      <c r="B28" s="89" t="s">
        <v>9</v>
      </c>
      <c r="C28" s="90">
        <v>7.6219510000000005E-4</v>
      </c>
      <c r="D28" s="90">
        <v>3.2393293000000001E-3</v>
      </c>
      <c r="E28" s="90">
        <v>0.78048780490000003</v>
      </c>
      <c r="F28" s="90">
        <v>0.47766805309999999</v>
      </c>
      <c r="G28" s="90">
        <v>0.50378384080000005</v>
      </c>
      <c r="H28" s="88">
        <f>C28*1/5 +D28*1/5+E28*1/5+F28*1/5+G28*1/5</f>
        <v>0.35318824463999998</v>
      </c>
      <c r="I28" s="88">
        <f>E28*1/2+G28*1/2</f>
        <v>0.64213582285000004</v>
      </c>
      <c r="J28" s="88">
        <f>C28*1/3+D28*1/3+F28*1/3</f>
        <v>0.16055652583333335</v>
      </c>
    </row>
    <row r="29" spans="1:10" ht="20" x14ac:dyDescent="0.2">
      <c r="A29" s="86" t="s">
        <v>85</v>
      </c>
      <c r="B29" s="89" t="s">
        <v>8</v>
      </c>
      <c r="C29" s="88">
        <v>3.8109759999999999E-4</v>
      </c>
      <c r="D29" s="88">
        <v>3.4298781E-3</v>
      </c>
      <c r="E29" s="88">
        <v>0.36775914630000001</v>
      </c>
      <c r="F29" s="88">
        <v>0.47550582689999998</v>
      </c>
      <c r="G29" s="88">
        <v>0.47833423320000001</v>
      </c>
      <c r="H29" s="88">
        <f>C29*1/5 +D29*1/5+E29*1/5+F29*1/5+G29*1/5</f>
        <v>0.26508203642</v>
      </c>
      <c r="I29" s="88">
        <f>E29*1/2+G29*1/2</f>
        <v>0.42304668975000004</v>
      </c>
      <c r="J29" s="88">
        <f>C29*1/3+D29*1/3+F29*1/3</f>
        <v>0.15977226753333335</v>
      </c>
    </row>
    <row r="30" spans="1:10" ht="20" customHeight="1" x14ac:dyDescent="0.2">
      <c r="A30" s="86" t="s">
        <v>76</v>
      </c>
      <c r="B30" s="89" t="s">
        <v>9</v>
      </c>
      <c r="C30" s="88">
        <v>0</v>
      </c>
      <c r="D30" s="88">
        <v>2.2883295000000001E-3</v>
      </c>
      <c r="E30" s="88">
        <v>2.93668955E-2</v>
      </c>
      <c r="F30" s="88">
        <v>0.47452555019999998</v>
      </c>
      <c r="G30" s="88">
        <v>0.47974364320000001</v>
      </c>
      <c r="H30" s="88">
        <f>C30*1/5 +D30*1/5+E30*1/5+F30*1/5+G30*1/5</f>
        <v>0.19718488368000001</v>
      </c>
      <c r="I30" s="88">
        <f>E30*1/2+G30*1/2</f>
        <v>0.25455526935</v>
      </c>
      <c r="J30" s="88">
        <f>C30*1/3+D30*1/3+F30*1/3</f>
        <v>0.15893795990000001</v>
      </c>
    </row>
    <row r="31" spans="1:10" ht="20" x14ac:dyDescent="0.2">
      <c r="A31" s="86" t="s">
        <v>82</v>
      </c>
      <c r="B31" s="89" t="s">
        <v>9</v>
      </c>
      <c r="C31" s="88">
        <v>0</v>
      </c>
      <c r="D31" s="88">
        <v>1.06707317E-2</v>
      </c>
      <c r="E31" s="88">
        <v>0.19740853659999999</v>
      </c>
      <c r="F31" s="88">
        <v>0.44089801090000003</v>
      </c>
      <c r="G31" s="88">
        <v>0.35974137750000001</v>
      </c>
      <c r="H31" s="88">
        <f>C31*1/5 +D31*1/5+E31*1/5+F31*1/5+G31*1/5</f>
        <v>0.20174373134000001</v>
      </c>
      <c r="I31" s="88">
        <f>E31*1/2+G31*1/2</f>
        <v>0.27857495705000002</v>
      </c>
      <c r="J31" s="88">
        <f>C31*1/3+D31*1/3+F31*1/3</f>
        <v>0.1505229142</v>
      </c>
    </row>
    <row r="32" spans="1:10" ht="20" x14ac:dyDescent="0.2">
      <c r="A32" s="86" t="s">
        <v>85</v>
      </c>
      <c r="B32" s="89" t="s">
        <v>9</v>
      </c>
      <c r="C32" s="90">
        <v>0</v>
      </c>
      <c r="D32" s="90">
        <v>2.2865854E-3</v>
      </c>
      <c r="E32" s="90">
        <v>1</v>
      </c>
      <c r="F32" s="90">
        <v>0.448357271</v>
      </c>
      <c r="G32" s="90">
        <v>0.4793704064</v>
      </c>
      <c r="H32" s="88">
        <f>C32*1/5 +D32*1/5+E32*1/5+F32*1/5+G32*1/5</f>
        <v>0.38600285256</v>
      </c>
      <c r="I32" s="88">
        <f>E32*1/2+G32*1/2</f>
        <v>0.73968520319999997</v>
      </c>
      <c r="J32" s="88">
        <f>C32*1/3+D32*1/3+F32*1/3</f>
        <v>0.1502146188</v>
      </c>
    </row>
    <row r="33" spans="1:10" ht="20" x14ac:dyDescent="0.2">
      <c r="A33" s="86" t="s">
        <v>78</v>
      </c>
      <c r="B33" s="89" t="s">
        <v>9</v>
      </c>
      <c r="C33" s="88">
        <v>3.8138830000000002E-4</v>
      </c>
      <c r="D33" s="88">
        <v>4.1952708000000003E-3</v>
      </c>
      <c r="E33" s="88">
        <v>2.7078565999999998E-2</v>
      </c>
      <c r="F33" s="88">
        <v>0.40992652470000002</v>
      </c>
      <c r="G33" s="88">
        <v>0.38954129339999999</v>
      </c>
      <c r="H33" s="88">
        <f>C33*1/5 +D33*1/5+E33*1/5+F33*1/5+G33*1/5</f>
        <v>0.16622460863999999</v>
      </c>
      <c r="I33" s="88">
        <f>E33*1/2+G33*1/2</f>
        <v>0.20830992970000001</v>
      </c>
      <c r="J33" s="88">
        <f>C33*1/3+D33*1/3+F33*1/3</f>
        <v>0.13816772793333332</v>
      </c>
    </row>
    <row r="34" spans="1:10" ht="20" x14ac:dyDescent="0.2">
      <c r="A34" s="86" t="s">
        <v>84</v>
      </c>
      <c r="B34" s="89" t="s">
        <v>8</v>
      </c>
      <c r="C34" s="88">
        <v>7.6219510000000005E-4</v>
      </c>
      <c r="D34" s="88">
        <v>4.3826220000000001E-3</v>
      </c>
      <c r="E34" s="88">
        <v>0.25609756099999997</v>
      </c>
      <c r="F34" s="88">
        <v>0.3903245058</v>
      </c>
      <c r="G34" s="88">
        <v>0.35050324440000002</v>
      </c>
      <c r="H34" s="88">
        <f>C34*1/5 +D34*1/5+E34*1/5+F34*1/5+G34*1/5</f>
        <v>0.20041402565999999</v>
      </c>
      <c r="I34" s="88">
        <f>E34*1/2+G34*1/2</f>
        <v>0.30330040270000003</v>
      </c>
      <c r="J34" s="88">
        <f>C34*1/3+D34*1/3+F34*1/3</f>
        <v>0.13182310763333333</v>
      </c>
    </row>
    <row r="35" spans="1:10" ht="40" x14ac:dyDescent="0.2">
      <c r="A35" s="86" t="s">
        <v>81</v>
      </c>
      <c r="B35" s="89" t="s">
        <v>8</v>
      </c>
      <c r="C35" s="88">
        <v>9.5347059999999998E-4</v>
      </c>
      <c r="D35" s="88">
        <v>4.5766590999999999E-3</v>
      </c>
      <c r="E35" s="88">
        <v>0.15331807780000001</v>
      </c>
      <c r="F35" s="88">
        <v>0.37985365679999999</v>
      </c>
      <c r="G35" s="88">
        <v>0.36610513039999998</v>
      </c>
      <c r="H35" s="88">
        <f>C35*1/5 +D35*1/5+E35*1/5+F35*1/5+G35*1/5</f>
        <v>0.18096139894000002</v>
      </c>
      <c r="I35" s="88">
        <f>E35*1/2+G35*1/2</f>
        <v>0.25971160409999999</v>
      </c>
      <c r="J35" s="88">
        <f>C35*1/3+D35*1/3+F35*1/3</f>
        <v>0.12846126216666667</v>
      </c>
    </row>
    <row r="36" spans="1:10" ht="20" x14ac:dyDescent="0.2">
      <c r="A36" s="86" t="s">
        <v>79</v>
      </c>
      <c r="B36" s="89" t="s">
        <v>8</v>
      </c>
      <c r="C36" s="88">
        <v>5.7208240000000004E-4</v>
      </c>
      <c r="D36" s="88">
        <v>2.4790237000000001E-3</v>
      </c>
      <c r="E36" s="88">
        <v>0.14492753620000001</v>
      </c>
      <c r="F36" s="88">
        <v>0.36882205509999999</v>
      </c>
      <c r="G36" s="88">
        <v>0.36333761959999999</v>
      </c>
      <c r="H36" s="88">
        <f>C36*1/5 +D36*1/5+E36*1/5+F36*1/5+G36*1/5</f>
        <v>0.17602766340000001</v>
      </c>
      <c r="I36" s="88">
        <f>E36*1/2+G36*1/2</f>
        <v>0.25413257789999999</v>
      </c>
      <c r="J36" s="88">
        <f>C36*1/3+D36*1/3+F36*1/3</f>
        <v>0.1239577204</v>
      </c>
    </row>
    <row r="37" spans="1:10" ht="20" x14ac:dyDescent="0.2">
      <c r="A37" s="86" t="s">
        <v>77</v>
      </c>
      <c r="B37" s="89" t="s">
        <v>9</v>
      </c>
      <c r="C37" s="88">
        <v>3.8138830000000002E-4</v>
      </c>
      <c r="D37" s="88">
        <v>3.2418001E-3</v>
      </c>
      <c r="E37" s="88">
        <v>2.8604119000000001E-2</v>
      </c>
      <c r="F37" s="88">
        <v>0.30229342920000002</v>
      </c>
      <c r="G37" s="88">
        <v>0.19462933560000001</v>
      </c>
      <c r="H37" s="88">
        <f>C37*1/5 +D37*1/5+E37*1/5+F37*1/5+G37*1/5</f>
        <v>0.10583001444000001</v>
      </c>
      <c r="I37" s="88">
        <f>E37*1/2+G37*1/2</f>
        <v>0.11161672730000001</v>
      </c>
      <c r="J37" s="88">
        <f>C37*1/3+D37*1/3+F37*1/3</f>
        <v>0.10197220586666668</v>
      </c>
    </row>
    <row r="38" spans="1:10" x14ac:dyDescent="0.2">
      <c r="A38" s="86"/>
      <c r="B38" s="89"/>
      <c r="C38" s="90"/>
      <c r="D38" s="90"/>
      <c r="E38" s="90"/>
      <c r="F38" s="90"/>
      <c r="G38" s="90"/>
      <c r="H38" s="88"/>
      <c r="I38" s="88"/>
      <c r="J38" s="88"/>
    </row>
    <row r="39" spans="1:10" x14ac:dyDescent="0.2">
      <c r="A39" s="86"/>
      <c r="B39" s="89"/>
      <c r="C39" s="90"/>
      <c r="D39" s="90"/>
      <c r="E39" s="90"/>
      <c r="F39" s="90"/>
      <c r="G39" s="90"/>
      <c r="H39" s="88"/>
      <c r="I39" s="88"/>
      <c r="J39" s="88"/>
    </row>
    <row r="40" spans="1:10" x14ac:dyDescent="0.2">
      <c r="A40" s="86"/>
      <c r="B40" s="89"/>
      <c r="C40" s="90"/>
      <c r="D40" s="90"/>
      <c r="E40" s="90"/>
      <c r="F40" s="90"/>
      <c r="G40" s="90"/>
      <c r="H40" s="88"/>
      <c r="I40" s="88"/>
      <c r="J40" s="88"/>
    </row>
    <row r="41" spans="1:10" x14ac:dyDescent="0.2">
      <c r="A41" s="86"/>
      <c r="B41" s="89"/>
      <c r="C41" s="90"/>
      <c r="D41" s="90"/>
      <c r="E41" s="90"/>
      <c r="F41" s="90"/>
      <c r="G41" s="90"/>
      <c r="H41" s="88"/>
      <c r="I41" s="88"/>
      <c r="J41" s="88"/>
    </row>
    <row r="42" spans="1:10" x14ac:dyDescent="0.2">
      <c r="A42" s="86"/>
      <c r="B42" s="89"/>
      <c r="C42" s="90"/>
      <c r="D42" s="90"/>
      <c r="E42" s="90"/>
      <c r="F42" s="90"/>
      <c r="G42" s="90"/>
      <c r="H42" s="88"/>
      <c r="I42" s="88"/>
      <c r="J42" s="88"/>
    </row>
    <row r="43" spans="1:10" x14ac:dyDescent="0.2">
      <c r="A43" s="86"/>
      <c r="B43" s="89"/>
      <c r="C43" s="90"/>
      <c r="D43" s="90"/>
      <c r="E43" s="90"/>
      <c r="F43" s="90"/>
      <c r="G43" s="90"/>
      <c r="H43" s="88"/>
      <c r="I43" s="88"/>
      <c r="J43" s="88"/>
    </row>
    <row r="44" spans="1:10" x14ac:dyDescent="0.2">
      <c r="A44" s="86"/>
      <c r="B44" s="89"/>
      <c r="C44" s="90"/>
      <c r="D44" s="90"/>
      <c r="E44" s="90"/>
      <c r="F44" s="90"/>
      <c r="G44" s="90"/>
      <c r="H44" s="88"/>
      <c r="I44" s="88"/>
      <c r="J44" s="88"/>
    </row>
    <row r="45" spans="1:10" x14ac:dyDescent="0.2">
      <c r="A45" s="4"/>
      <c r="B45" s="89"/>
      <c r="C45" s="90"/>
      <c r="D45" s="90"/>
      <c r="E45" s="90"/>
      <c r="F45" s="90"/>
      <c r="G45" s="90"/>
      <c r="H45" s="88"/>
      <c r="I45" s="88"/>
      <c r="J45" s="88"/>
    </row>
    <row r="46" spans="1:10" x14ac:dyDescent="0.2">
      <c r="A46" s="86"/>
      <c r="B46" s="89"/>
      <c r="C46" s="90"/>
      <c r="D46" s="90"/>
      <c r="E46" s="90"/>
      <c r="F46" s="90"/>
      <c r="G46" s="90"/>
      <c r="H46" s="88"/>
      <c r="I46" s="88"/>
      <c r="J46" s="88"/>
    </row>
    <row r="47" spans="1:10" x14ac:dyDescent="0.2">
      <c r="A47" s="86"/>
      <c r="B47" s="89"/>
      <c r="C47" s="90"/>
      <c r="D47" s="90"/>
      <c r="E47" s="90"/>
      <c r="F47" s="90"/>
      <c r="G47" s="90"/>
      <c r="H47" s="88"/>
      <c r="I47" s="88"/>
      <c r="J47" s="88"/>
    </row>
    <row r="48" spans="1:10" x14ac:dyDescent="0.2">
      <c r="A48" s="86"/>
      <c r="B48" s="89"/>
      <c r="C48" s="90"/>
      <c r="D48" s="90"/>
      <c r="E48" s="90"/>
      <c r="F48" s="90"/>
      <c r="G48" s="90"/>
      <c r="H48" s="88"/>
      <c r="I48" s="88"/>
      <c r="J48" s="88"/>
    </row>
    <row r="49" spans="1:12" x14ac:dyDescent="0.2">
      <c r="A49" s="87"/>
      <c r="B49" s="87"/>
      <c r="C49" s="88"/>
      <c r="D49" s="88"/>
      <c r="E49" s="88"/>
      <c r="F49" s="88"/>
      <c r="G49" s="88"/>
      <c r="H49" s="88"/>
      <c r="I49" s="88"/>
      <c r="J49" s="88"/>
      <c r="K49" s="87"/>
      <c r="L49" s="87"/>
    </row>
    <row r="50" spans="1:12" x14ac:dyDescent="0.2">
      <c r="A50" s="87"/>
      <c r="B50" s="87"/>
      <c r="C50" s="88"/>
      <c r="D50" s="88"/>
      <c r="E50" s="88"/>
      <c r="F50" s="88"/>
      <c r="G50" s="88"/>
      <c r="H50" s="88"/>
      <c r="I50" s="88"/>
      <c r="J50" s="88"/>
      <c r="K50" s="87"/>
      <c r="L50" s="87"/>
    </row>
    <row r="51" spans="1:12" x14ac:dyDescent="0.2">
      <c r="A51" s="87"/>
      <c r="B51" s="87"/>
      <c r="C51" s="88"/>
      <c r="D51" s="88"/>
      <c r="E51" s="88"/>
      <c r="F51" s="88"/>
      <c r="G51" s="88"/>
      <c r="H51" s="88"/>
      <c r="I51" s="88"/>
      <c r="J51" s="88"/>
      <c r="K51" s="87"/>
      <c r="L51" s="87"/>
    </row>
    <row r="52" spans="1:12" x14ac:dyDescent="0.2">
      <c r="A52" s="87"/>
      <c r="B52" s="87"/>
      <c r="C52" s="88"/>
      <c r="D52" s="88"/>
      <c r="E52" s="88"/>
      <c r="F52" s="88"/>
      <c r="G52" s="88"/>
      <c r="H52" s="88"/>
      <c r="I52" s="88"/>
      <c r="J52" s="88"/>
      <c r="K52" s="87"/>
      <c r="L52" s="87"/>
    </row>
    <row r="53" spans="1:12" x14ac:dyDescent="0.2">
      <c r="A53" s="87"/>
      <c r="B53" s="87"/>
      <c r="C53" s="88"/>
      <c r="D53" s="88"/>
      <c r="E53" s="88"/>
      <c r="F53" s="88"/>
      <c r="G53" s="88"/>
      <c r="H53" s="88"/>
      <c r="I53" s="88"/>
      <c r="J53" s="88"/>
      <c r="K53" s="87"/>
      <c r="L53" s="87"/>
    </row>
    <row r="54" spans="1:12" x14ac:dyDescent="0.2">
      <c r="A54" s="87"/>
      <c r="B54" s="87"/>
      <c r="C54" s="88"/>
      <c r="D54" s="88"/>
      <c r="E54" s="88"/>
      <c r="F54" s="88"/>
      <c r="G54" s="88"/>
      <c r="H54" s="88"/>
      <c r="I54" s="88"/>
      <c r="J54" s="88"/>
      <c r="K54" s="87"/>
      <c r="L54" s="87"/>
    </row>
  </sheetData>
  <sortState xmlns:xlrd2="http://schemas.microsoft.com/office/spreadsheetml/2017/richdata2" ref="A2:J54">
    <sortCondition descending="1" ref="J1:J5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5ADF-282B-7143-A056-3E023A2AE323}">
  <dimension ref="A1:O44"/>
  <sheetViews>
    <sheetView workbookViewId="0">
      <selection activeCell="A2" sqref="A2:A4"/>
    </sheetView>
  </sheetViews>
  <sheetFormatPr baseColWidth="10" defaultColWidth="8.83203125" defaultRowHeight="19" x14ac:dyDescent="0.2"/>
  <cols>
    <col min="1" max="1" width="45.6640625" style="5" customWidth="1"/>
    <col min="2" max="2" width="42.83203125" style="5" customWidth="1"/>
    <col min="3" max="3" width="22" style="5" customWidth="1"/>
    <col min="4" max="4" width="12.5" style="5" customWidth="1"/>
    <col min="5" max="10" width="18" style="12" customWidth="1"/>
    <col min="11" max="11" width="19.5" style="5" bestFit="1" customWidth="1"/>
    <col min="12" max="14" width="18" style="12" customWidth="1"/>
    <col min="16" max="16384" width="8.83203125" style="5"/>
  </cols>
  <sheetData>
    <row r="1" spans="1:15" s="66" customFormat="1" ht="67" thickBot="1" x14ac:dyDescent="0.25">
      <c r="A1" s="61" t="s">
        <v>60</v>
      </c>
      <c r="B1" s="61" t="s">
        <v>95</v>
      </c>
      <c r="C1" s="61" t="s">
        <v>22</v>
      </c>
      <c r="D1" s="61" t="s">
        <v>0</v>
      </c>
      <c r="E1" s="62" t="s">
        <v>3</v>
      </c>
      <c r="F1" s="62" t="s">
        <v>56</v>
      </c>
      <c r="G1" s="63" t="s">
        <v>59</v>
      </c>
      <c r="H1" s="63" t="s">
        <v>58</v>
      </c>
      <c r="I1" s="63" t="s">
        <v>57</v>
      </c>
      <c r="J1" s="62" t="s">
        <v>5</v>
      </c>
      <c r="K1" s="91" t="s">
        <v>143</v>
      </c>
      <c r="L1" s="64" t="s">
        <v>99</v>
      </c>
      <c r="M1" s="64" t="s">
        <v>71</v>
      </c>
      <c r="N1" s="65" t="s">
        <v>100</v>
      </c>
    </row>
    <row r="2" spans="1:15" ht="20" x14ac:dyDescent="0.2">
      <c r="A2" s="77" t="s">
        <v>81</v>
      </c>
      <c r="B2" s="79" t="s">
        <v>141</v>
      </c>
      <c r="C2" s="5" t="s">
        <v>140</v>
      </c>
      <c r="D2" s="4" t="s">
        <v>7</v>
      </c>
      <c r="E2" s="6">
        <v>0.74942791760000005</v>
      </c>
      <c r="F2" s="6">
        <v>0.93745232649999999</v>
      </c>
      <c r="G2" s="6">
        <v>0.8227964928</v>
      </c>
      <c r="H2" s="6">
        <v>0.453125</v>
      </c>
      <c r="I2" s="6">
        <v>0.11267605629999999</v>
      </c>
      <c r="J2" s="6">
        <v>0.64946929639999995</v>
      </c>
      <c r="K2" s="5">
        <f>SUM(E2,J2)/2</f>
        <v>0.699448607</v>
      </c>
      <c r="L2" s="39">
        <f>SUM(E2:J2)/6</f>
        <v>0.62082451493333335</v>
      </c>
      <c r="M2" s="26">
        <f>STDEV(E2:J2)</f>
        <v>0.29824258344639348</v>
      </c>
      <c r="N2" s="12">
        <f>SUMPRODUCT(G2:I2,$C$16:$E$16)/SUM($C$16:$E$16)</f>
        <v>0.17757764115573771</v>
      </c>
    </row>
    <row r="3" spans="1:15" ht="20" x14ac:dyDescent="0.2">
      <c r="A3" s="77"/>
      <c r="B3" s="77"/>
      <c r="C3" s="5" t="s">
        <v>23</v>
      </c>
      <c r="D3" s="4" t="s">
        <v>8</v>
      </c>
      <c r="E3" s="6">
        <v>0.15331807780000001</v>
      </c>
      <c r="F3" s="6">
        <v>0.93592677349999998</v>
      </c>
      <c r="G3" s="6">
        <v>1.01522843E-2</v>
      </c>
      <c r="H3" s="6">
        <v>0.98958333330000003</v>
      </c>
      <c r="I3" s="6">
        <v>0</v>
      </c>
      <c r="J3" s="6">
        <v>0.36610513039999998</v>
      </c>
      <c r="K3" s="5">
        <f>SUM(E3,J3)/2</f>
        <v>0.25971160409999999</v>
      </c>
      <c r="L3" s="26">
        <f>SUM(E3:J3)/6</f>
        <v>0.40918093321666665</v>
      </c>
      <c r="M3" s="26">
        <f>STDEV(E3:J3)</f>
        <v>0.44906622019761899</v>
      </c>
      <c r="N3" s="12">
        <f>SUMPRODUCT(G3:I3,$C$16:$E$16)/SUM($C$16:$E$16)</f>
        <v>0.13814240589344262</v>
      </c>
    </row>
    <row r="4" spans="1:15" ht="20" x14ac:dyDescent="0.2">
      <c r="A4" s="77"/>
      <c r="B4" s="77"/>
      <c r="C4" s="5" t="s">
        <v>24</v>
      </c>
      <c r="D4" s="4" t="s">
        <v>9</v>
      </c>
      <c r="E4" s="6">
        <v>0.1487414188</v>
      </c>
      <c r="F4" s="6">
        <v>0.97330282229999998</v>
      </c>
      <c r="G4" s="6">
        <v>2.7688048E-3</v>
      </c>
      <c r="H4" s="6">
        <v>0.99739583330000003</v>
      </c>
      <c r="I4" s="6">
        <v>1.4084507E-2</v>
      </c>
      <c r="J4" s="6">
        <v>0.59878249289999996</v>
      </c>
      <c r="K4" s="5">
        <f>SUM(E4,J4)/2</f>
        <v>0.37376195584999999</v>
      </c>
      <c r="L4" s="26">
        <f>SUM(E4:J4)/6</f>
        <v>0.45584597985000003</v>
      </c>
      <c r="M4" s="39">
        <f>STDEV(E4:J4)</f>
        <v>0.46394267128526467</v>
      </c>
      <c r="N4" s="12">
        <f>SUMPRODUCT(G4:I4,$C$16:$E$16)/SUM($C$16:$E$16)</f>
        <v>0.15082504339754099</v>
      </c>
    </row>
    <row r="5" spans="1:15" x14ac:dyDescent="0.2">
      <c r="A5" s="4"/>
      <c r="B5" s="4"/>
      <c r="D5" s="4"/>
      <c r="E5" s="6"/>
      <c r="F5" s="6"/>
      <c r="G5" s="6"/>
      <c r="H5" s="6"/>
      <c r="I5" s="6"/>
      <c r="J5" s="6"/>
      <c r="L5" s="26"/>
      <c r="M5" s="26"/>
    </row>
    <row r="6" spans="1:15" ht="20" x14ac:dyDescent="0.2">
      <c r="A6" s="77" t="s">
        <v>83</v>
      </c>
      <c r="B6" s="77" t="s">
        <v>96</v>
      </c>
      <c r="C6" s="5" t="s">
        <v>140</v>
      </c>
      <c r="D6" s="4" t="s">
        <v>7</v>
      </c>
      <c r="E6" s="6">
        <v>0.60518292679999997</v>
      </c>
      <c r="F6" s="6">
        <v>0.89824695119999998</v>
      </c>
      <c r="G6" s="6">
        <v>0.65191332410000002</v>
      </c>
      <c r="H6" s="6">
        <v>0.43489583329999998</v>
      </c>
      <c r="I6" s="6">
        <v>9.8591549299999998E-2</v>
      </c>
      <c r="J6" s="6">
        <v>0.68544860669999996</v>
      </c>
      <c r="K6" s="5">
        <f>SUM(E6,J6)/2</f>
        <v>0.64531576675000002</v>
      </c>
      <c r="L6" s="26">
        <f t="shared" ref="L3:L12" si="0">SUM(E6:J6)/6</f>
        <v>0.56237986523333339</v>
      </c>
      <c r="M6" s="26">
        <f>STDEV(E6:J6)</f>
        <v>0.27171777170155592</v>
      </c>
      <c r="N6" s="12">
        <f>SUMPRODUCT(G6:I6,$C$19:$E$19)/SUM($C$19:$E$19)</f>
        <v>0.15905989481147539</v>
      </c>
    </row>
    <row r="7" spans="1:15" s="87" customFormat="1" ht="20" x14ac:dyDescent="0.2">
      <c r="A7" s="77"/>
      <c r="B7" s="77"/>
      <c r="C7" s="87" t="s">
        <v>23</v>
      </c>
      <c r="D7" s="89" t="s">
        <v>8</v>
      </c>
      <c r="E7" s="90">
        <v>0.71532012199999995</v>
      </c>
      <c r="F7" s="90">
        <v>0.88452743899999997</v>
      </c>
      <c r="G7" s="90">
        <v>0.82664822500000001</v>
      </c>
      <c r="H7" s="90">
        <v>0.20572916669999999</v>
      </c>
      <c r="I7" s="90">
        <v>7.0422535199999997E-2</v>
      </c>
      <c r="J7" s="90">
        <v>0.73983099360000004</v>
      </c>
      <c r="K7" s="38">
        <f>SUM(E7,J7)/2</f>
        <v>0.72757555780000005</v>
      </c>
      <c r="L7" s="92">
        <f>SUM(E7:J7)/6</f>
        <v>0.57374641358333334</v>
      </c>
      <c r="M7" s="92">
        <f>STDEV(E7:J7)</f>
        <v>0.34552655329669091</v>
      </c>
      <c r="N7" s="88">
        <f>SUMPRODUCT(G7:I7,$C$19:$E$19)/SUM($C$19:$E$19)</f>
        <v>0.10787245163360654</v>
      </c>
      <c r="O7" s="93"/>
    </row>
    <row r="8" spans="1:15" ht="20" x14ac:dyDescent="0.2">
      <c r="A8" s="77"/>
      <c r="B8" s="77"/>
      <c r="C8" s="5" t="s">
        <v>24</v>
      </c>
      <c r="D8" s="4" t="s">
        <v>9</v>
      </c>
      <c r="E8" s="6">
        <v>0.78048780490000003</v>
      </c>
      <c r="F8" s="6">
        <v>0.85670731710000003</v>
      </c>
      <c r="G8" s="6">
        <v>0.94006454589999999</v>
      </c>
      <c r="H8" s="6">
        <v>0</v>
      </c>
      <c r="I8" s="6">
        <v>0.1267605634</v>
      </c>
      <c r="J8" s="6">
        <v>0.50378384080000005</v>
      </c>
      <c r="K8" s="5">
        <f>SUM(E8,J8)/2</f>
        <v>0.64213582285000004</v>
      </c>
      <c r="L8" s="26">
        <f>SUM(E8:J8)/6</f>
        <v>0.53463401201666672</v>
      </c>
      <c r="M8" s="26">
        <f>STDEV(E8:J8)</f>
        <v>0.39539732651674198</v>
      </c>
      <c r="N8" s="12">
        <f>SUMPRODUCT(G8:I8,$C$19:$E$19)/SUM($C$19:$E$19)</f>
        <v>0.12909648446311475</v>
      </c>
    </row>
    <row r="9" spans="1:15" x14ac:dyDescent="0.2">
      <c r="A9" s="4"/>
      <c r="B9" s="4"/>
      <c r="D9" s="4"/>
      <c r="E9" s="6"/>
      <c r="F9" s="6"/>
      <c r="G9" s="6"/>
      <c r="H9" s="6"/>
      <c r="I9" s="6"/>
      <c r="J9" s="6"/>
      <c r="L9" s="26"/>
      <c r="M9" s="26"/>
    </row>
    <row r="10" spans="1:15" ht="20" x14ac:dyDescent="0.2">
      <c r="A10" s="77" t="s">
        <v>80</v>
      </c>
      <c r="B10" s="77" t="s">
        <v>142</v>
      </c>
      <c r="C10" s="5" t="s">
        <v>140</v>
      </c>
      <c r="D10" s="4" t="s">
        <v>7</v>
      </c>
      <c r="E10" s="6">
        <v>0.74713958810000003</v>
      </c>
      <c r="F10" s="6">
        <v>0.90999237219999995</v>
      </c>
      <c r="G10" s="6">
        <v>0.83848638669999997</v>
      </c>
      <c r="H10" s="6">
        <v>0.34114583329999998</v>
      </c>
      <c r="I10" s="6">
        <v>0.1549295775</v>
      </c>
      <c r="J10" s="6">
        <v>0.65728491980000003</v>
      </c>
      <c r="K10" s="5">
        <f>SUM(E10,J10)/2</f>
        <v>0.70221225394999998</v>
      </c>
      <c r="L10" s="26">
        <f t="shared" si="0"/>
        <v>0.60816311293333336</v>
      </c>
      <c r="M10" s="26">
        <f>STDEV(E10:J10)</f>
        <v>0.29752176055268348</v>
      </c>
      <c r="N10" s="40">
        <f>SUMPRODUCT(G10:I10, $C$22:$E$22)/SUM($C$22:$E$22)</f>
        <v>0.21221355914186049</v>
      </c>
    </row>
    <row r="11" spans="1:15" ht="20" x14ac:dyDescent="0.2">
      <c r="A11" s="77"/>
      <c r="B11" s="77"/>
      <c r="C11" s="5" t="s">
        <v>23</v>
      </c>
      <c r="D11" s="4" t="s">
        <v>8</v>
      </c>
      <c r="E11" s="6">
        <v>0.65980167810000001</v>
      </c>
      <c r="F11" s="6">
        <v>0.85621662850000002</v>
      </c>
      <c r="G11" s="6">
        <v>0.77480387630000003</v>
      </c>
      <c r="H11" s="6">
        <v>0.12239583330000001</v>
      </c>
      <c r="I11" s="6">
        <v>5.6338028200000001E-2</v>
      </c>
      <c r="J11" s="6">
        <v>0.59480806279999998</v>
      </c>
      <c r="K11" s="5">
        <f>SUM(E11,J11)/2</f>
        <v>0.62730487044999994</v>
      </c>
      <c r="L11" s="26">
        <f t="shared" si="0"/>
        <v>0.51072735120000001</v>
      </c>
      <c r="M11" s="26">
        <f>STDEV(E11:J11)</f>
        <v>0.33931195012640925</v>
      </c>
      <c r="N11" s="12">
        <f>SUMPRODUCT(G11:I11, $C$22:$E$22)/SUM($C$22:$E$22)</f>
        <v>9.1417939206976745E-2</v>
      </c>
    </row>
    <row r="12" spans="1:15" ht="20" x14ac:dyDescent="0.2">
      <c r="A12" s="77"/>
      <c r="B12" s="77"/>
      <c r="C12" s="5" t="s">
        <v>24</v>
      </c>
      <c r="D12" s="4" t="s">
        <v>9</v>
      </c>
      <c r="E12" s="6">
        <v>0.25896262399999997</v>
      </c>
      <c r="F12" s="6">
        <v>0.96109839819999998</v>
      </c>
      <c r="G12" s="6">
        <v>0.1647438856</v>
      </c>
      <c r="H12" s="6">
        <v>0.8359375</v>
      </c>
      <c r="I12" s="6">
        <v>1.4084507E-2</v>
      </c>
      <c r="J12" s="6">
        <v>0.61473724439999999</v>
      </c>
      <c r="K12" s="5">
        <f>SUM(E12,J12)/2</f>
        <v>0.43684993419999996</v>
      </c>
      <c r="L12" s="26">
        <f t="shared" si="0"/>
        <v>0.47492735986666673</v>
      </c>
      <c r="M12" s="26">
        <f>STDEV(E12:J12)</f>
        <v>0.38508910488114606</v>
      </c>
      <c r="N12" s="12">
        <f>SUMPRODUCT(G12:I12, $C$22:$E$22)/SUM($C$22:$E$22)</f>
        <v>0.17802995149147285</v>
      </c>
    </row>
    <row r="13" spans="1:15" x14ac:dyDescent="0.2">
      <c r="A13" s="4"/>
      <c r="B13" s="4"/>
      <c r="D13" s="4"/>
      <c r="E13" s="6"/>
      <c r="F13" s="6"/>
      <c r="G13" s="6"/>
      <c r="H13" s="6"/>
      <c r="I13" s="6"/>
      <c r="J13" s="6"/>
      <c r="L13" s="26"/>
      <c r="M13" s="26"/>
    </row>
    <row r="14" spans="1:15" x14ac:dyDescent="0.2">
      <c r="A14" s="22"/>
      <c r="B14" s="22"/>
      <c r="D14" s="24"/>
      <c r="E14" s="19"/>
      <c r="F14" s="19"/>
      <c r="G14" s="19"/>
      <c r="H14" s="19"/>
      <c r="I14" s="19"/>
      <c r="J14" s="20" t="s">
        <v>97</v>
      </c>
      <c r="K14" s="37">
        <f t="shared" ref="K14" si="1">MAX(K2:K12)</f>
        <v>0.72757555780000005</v>
      </c>
      <c r="L14" s="37">
        <f>MAX(L2:L12)</f>
        <v>0.62082451493333335</v>
      </c>
      <c r="M14" s="37">
        <f t="shared" ref="M14:N14" si="2">MAX(M2:M12)</f>
        <v>0.46394267128526467</v>
      </c>
      <c r="N14" s="37">
        <f t="shared" si="2"/>
        <v>0.21221355914186049</v>
      </c>
    </row>
    <row r="15" spans="1:15" x14ac:dyDescent="0.2">
      <c r="A15" s="22"/>
      <c r="B15" s="31" t="s">
        <v>88</v>
      </c>
      <c r="C15" s="30" t="s">
        <v>89</v>
      </c>
      <c r="D15" s="32" t="s">
        <v>90</v>
      </c>
      <c r="E15" s="33" t="s">
        <v>91</v>
      </c>
      <c r="F15" s="19"/>
      <c r="G15" s="19"/>
      <c r="H15" s="19"/>
      <c r="I15" s="19"/>
      <c r="J15" s="20" t="s">
        <v>86</v>
      </c>
      <c r="K15" s="37">
        <f t="shared" ref="K15" si="3">MIN(K2:K12)</f>
        <v>0.25971160409999999</v>
      </c>
      <c r="L15" s="37">
        <f>MIN(L2:L12)</f>
        <v>0.40918093321666665</v>
      </c>
      <c r="M15" s="37">
        <f t="shared" ref="M15:N15" si="4">MIN(M2:M12)</f>
        <v>0.27171777170155592</v>
      </c>
      <c r="N15" s="37">
        <f t="shared" si="4"/>
        <v>9.1417939206976745E-2</v>
      </c>
    </row>
    <row r="16" spans="1:15" x14ac:dyDescent="0.2">
      <c r="A16" s="22"/>
      <c r="B16" s="31" t="s">
        <v>92</v>
      </c>
      <c r="C16" s="35">
        <f>1/17</f>
        <v>5.8823529411764705E-2</v>
      </c>
      <c r="D16" s="36">
        <f>1/3</f>
        <v>0.33333333333333331</v>
      </c>
      <c r="E16" s="36">
        <f>1/0.5</f>
        <v>2</v>
      </c>
      <c r="F16" s="19"/>
      <c r="G16" s="19"/>
      <c r="H16" s="19"/>
      <c r="I16" s="19"/>
      <c r="J16" s="20" t="s">
        <v>98</v>
      </c>
      <c r="K16" s="37">
        <f t="shared" ref="K16" si="5">AVERAGE(K2:K12)</f>
        <v>0.56825737477222216</v>
      </c>
      <c r="L16" s="37">
        <f>AVERAGE(L2:L12)</f>
        <v>0.52782550475925927</v>
      </c>
      <c r="M16" s="37">
        <f t="shared" ref="M16:N16" si="6">AVERAGE(M2:M12)</f>
        <v>0.36064621577827832</v>
      </c>
      <c r="N16" s="37">
        <f t="shared" si="6"/>
        <v>0.14935948568835869</v>
      </c>
    </row>
    <row r="17" spans="1:13" x14ac:dyDescent="0.2">
      <c r="A17" s="24"/>
      <c r="B17" s="24"/>
      <c r="D17" s="24"/>
      <c r="E17" s="47"/>
      <c r="F17" s="19"/>
      <c r="G17" s="19"/>
      <c r="H17" s="19"/>
      <c r="I17" s="19"/>
      <c r="J17" s="19"/>
      <c r="L17" s="26"/>
      <c r="M17" s="26"/>
    </row>
    <row r="18" spans="1:13" x14ac:dyDescent="0.2">
      <c r="A18" s="22"/>
      <c r="B18" s="31" t="s">
        <v>93</v>
      </c>
      <c r="C18" s="30" t="s">
        <v>89</v>
      </c>
      <c r="D18" s="32" t="s">
        <v>90</v>
      </c>
      <c r="E18" s="48" t="s">
        <v>91</v>
      </c>
      <c r="F18" s="19"/>
      <c r="G18" s="19"/>
      <c r="H18" s="19"/>
      <c r="I18" s="19"/>
      <c r="J18" s="19"/>
      <c r="L18" s="26"/>
      <c r="M18" s="26"/>
    </row>
    <row r="19" spans="1:13" x14ac:dyDescent="0.2">
      <c r="A19" s="22"/>
      <c r="B19" s="31" t="s">
        <v>92</v>
      </c>
      <c r="C19" s="35">
        <f>1/34</f>
        <v>2.9411764705882353E-2</v>
      </c>
      <c r="D19" s="36">
        <f>1/6</f>
        <v>0.16666666666666666</v>
      </c>
      <c r="E19" s="36">
        <f>1/1</f>
        <v>1</v>
      </c>
      <c r="F19" s="19"/>
      <c r="G19" s="19"/>
      <c r="H19" s="19"/>
      <c r="I19" s="19"/>
      <c r="J19" s="19"/>
      <c r="L19" s="26"/>
      <c r="M19" s="26"/>
    </row>
    <row r="20" spans="1:13" x14ac:dyDescent="0.2">
      <c r="A20" s="22"/>
      <c r="B20" s="22"/>
      <c r="D20" s="24"/>
      <c r="E20" s="47"/>
      <c r="F20" s="19"/>
      <c r="G20" s="19"/>
      <c r="H20" s="19"/>
      <c r="I20" s="19"/>
      <c r="J20" s="19"/>
      <c r="L20" s="26"/>
      <c r="M20" s="26"/>
    </row>
    <row r="21" spans="1:13" x14ac:dyDescent="0.2">
      <c r="A21" s="24"/>
      <c r="B21" s="31" t="s">
        <v>94</v>
      </c>
      <c r="C21" s="30" t="s">
        <v>89</v>
      </c>
      <c r="D21" s="32" t="s">
        <v>90</v>
      </c>
      <c r="E21" s="48" t="s">
        <v>91</v>
      </c>
      <c r="F21" s="19"/>
      <c r="G21" s="19"/>
      <c r="H21" s="19"/>
      <c r="I21" s="19"/>
      <c r="J21" s="19"/>
      <c r="L21" s="26"/>
      <c r="M21" s="26"/>
    </row>
    <row r="22" spans="1:13" x14ac:dyDescent="0.2">
      <c r="A22" s="22"/>
      <c r="B22" s="31" t="s">
        <v>92</v>
      </c>
      <c r="C22" s="35">
        <f>1/25</f>
        <v>0.04</v>
      </c>
      <c r="D22" s="36">
        <f>1/4</f>
        <v>0.25</v>
      </c>
      <c r="E22" s="36">
        <f>1/1</f>
        <v>1</v>
      </c>
      <c r="F22" s="19"/>
      <c r="G22" s="19"/>
      <c r="H22" s="19"/>
      <c r="I22" s="19"/>
      <c r="J22" s="19"/>
      <c r="L22" s="26"/>
      <c r="M22" s="26"/>
    </row>
    <row r="23" spans="1:13" x14ac:dyDescent="0.2">
      <c r="A23" s="22"/>
      <c r="B23" s="22"/>
      <c r="D23" s="24"/>
      <c r="E23" s="19"/>
      <c r="F23" s="19"/>
      <c r="G23" s="19"/>
      <c r="H23" s="19"/>
      <c r="I23" s="19"/>
      <c r="J23" s="19"/>
      <c r="L23" s="26"/>
      <c r="M23" s="26"/>
    </row>
    <row r="24" spans="1:13" x14ac:dyDescent="0.2">
      <c r="A24" s="22"/>
      <c r="B24" s="22"/>
      <c r="D24" s="24"/>
      <c r="E24" s="19"/>
      <c r="F24" s="19"/>
      <c r="G24" s="19"/>
      <c r="H24" s="19"/>
      <c r="I24" s="19"/>
      <c r="J24" s="19"/>
      <c r="L24" s="26"/>
      <c r="M24" s="26"/>
    </row>
    <row r="25" spans="1:13" x14ac:dyDescent="0.2">
      <c r="A25" s="24"/>
      <c r="B25" s="24"/>
      <c r="D25" s="24"/>
      <c r="E25" s="19"/>
      <c r="F25" s="19"/>
      <c r="G25" s="19"/>
      <c r="H25" s="19"/>
      <c r="I25" s="19"/>
      <c r="J25" s="19"/>
      <c r="L25" s="26"/>
      <c r="M25" s="26"/>
    </row>
    <row r="26" spans="1:13" x14ac:dyDescent="0.2">
      <c r="A26" s="22"/>
      <c r="B26" s="22"/>
      <c r="D26" s="24"/>
      <c r="E26" s="19"/>
      <c r="F26" s="19"/>
      <c r="G26" s="19"/>
      <c r="H26" s="19"/>
      <c r="I26" s="19"/>
      <c r="J26" s="19"/>
      <c r="L26" s="26"/>
      <c r="M26" s="26"/>
    </row>
    <row r="27" spans="1:13" x14ac:dyDescent="0.2">
      <c r="A27" s="22"/>
      <c r="B27" s="22"/>
      <c r="D27" s="24"/>
      <c r="E27" s="19"/>
      <c r="F27" s="19"/>
      <c r="G27" s="19"/>
      <c r="H27" s="19"/>
      <c r="I27" s="19"/>
      <c r="J27" s="19"/>
      <c r="L27" s="26"/>
      <c r="M27" s="26"/>
    </row>
    <row r="28" spans="1:13" x14ac:dyDescent="0.2">
      <c r="A28" s="22"/>
      <c r="B28" s="22"/>
      <c r="D28" s="24"/>
      <c r="E28" s="19"/>
      <c r="F28" s="19"/>
      <c r="G28" s="19"/>
      <c r="H28" s="19"/>
      <c r="I28" s="19"/>
      <c r="J28" s="19"/>
      <c r="L28" s="26"/>
      <c r="M28" s="26"/>
    </row>
    <row r="29" spans="1:13" x14ac:dyDescent="0.2">
      <c r="A29" s="24"/>
      <c r="B29" s="24"/>
      <c r="D29" s="24"/>
      <c r="E29" s="19"/>
      <c r="F29" s="19"/>
      <c r="G29" s="19"/>
      <c r="H29" s="19"/>
      <c r="I29" s="19"/>
      <c r="J29" s="19"/>
      <c r="L29" s="26"/>
      <c r="M29" s="26"/>
    </row>
    <row r="30" spans="1:13" x14ac:dyDescent="0.2">
      <c r="A30" s="22"/>
      <c r="B30" s="22"/>
      <c r="D30" s="24"/>
      <c r="E30" s="19"/>
      <c r="F30" s="19"/>
      <c r="G30" s="19"/>
      <c r="H30" s="19"/>
      <c r="I30" s="19"/>
      <c r="J30" s="19"/>
      <c r="L30" s="26"/>
      <c r="M30" s="26"/>
    </row>
    <row r="31" spans="1:13" x14ac:dyDescent="0.2">
      <c r="A31" s="22"/>
      <c r="B31" s="22"/>
      <c r="D31" s="24"/>
      <c r="E31" s="19"/>
      <c r="F31" s="19"/>
      <c r="G31" s="19"/>
      <c r="H31" s="19"/>
      <c r="I31" s="19"/>
      <c r="J31" s="19"/>
      <c r="L31" s="26"/>
      <c r="M31" s="26"/>
    </row>
    <row r="32" spans="1:13" x14ac:dyDescent="0.2">
      <c r="A32" s="22"/>
      <c r="B32" s="22"/>
      <c r="D32" s="24"/>
      <c r="E32" s="19"/>
      <c r="F32" s="19"/>
      <c r="G32" s="19"/>
      <c r="H32" s="19"/>
      <c r="I32" s="19"/>
      <c r="J32" s="19"/>
      <c r="L32" s="26"/>
      <c r="M32" s="26"/>
    </row>
    <row r="33" spans="1:13" x14ac:dyDescent="0.2">
      <c r="A33" s="24"/>
      <c r="B33" s="24"/>
      <c r="D33" s="24"/>
      <c r="E33" s="19"/>
      <c r="F33" s="19"/>
      <c r="G33" s="19"/>
      <c r="H33" s="19"/>
      <c r="I33" s="19"/>
      <c r="J33" s="19"/>
      <c r="L33" s="26"/>
      <c r="M33" s="26"/>
    </row>
    <row r="34" spans="1:13" x14ac:dyDescent="0.2">
      <c r="A34" s="22"/>
      <c r="B34" s="22"/>
      <c r="D34" s="24"/>
      <c r="E34" s="19"/>
      <c r="F34" s="19"/>
      <c r="G34" s="19"/>
      <c r="H34" s="19"/>
      <c r="I34" s="19"/>
      <c r="J34" s="19"/>
      <c r="L34" s="26"/>
      <c r="M34" s="26"/>
    </row>
    <row r="35" spans="1:13" x14ac:dyDescent="0.2">
      <c r="A35" s="22"/>
      <c r="B35" s="22"/>
      <c r="D35" s="24"/>
      <c r="E35" s="19"/>
      <c r="F35" s="19"/>
      <c r="G35" s="19"/>
      <c r="H35" s="19"/>
      <c r="I35" s="19"/>
      <c r="J35" s="19"/>
      <c r="L35" s="26"/>
      <c r="M35" s="26"/>
    </row>
    <row r="36" spans="1:13" x14ac:dyDescent="0.2">
      <c r="A36" s="22"/>
      <c r="B36" s="22"/>
      <c r="D36" s="24"/>
      <c r="E36" s="19"/>
      <c r="F36" s="19"/>
      <c r="G36" s="19"/>
      <c r="H36" s="19"/>
      <c r="I36" s="19"/>
      <c r="J36" s="19"/>
      <c r="L36" s="26"/>
      <c r="M36" s="26"/>
    </row>
    <row r="37" spans="1:13" x14ac:dyDescent="0.2">
      <c r="A37" s="24"/>
      <c r="B37" s="24"/>
      <c r="D37" s="24"/>
      <c r="E37" s="19"/>
      <c r="F37" s="19"/>
      <c r="G37" s="19"/>
      <c r="H37" s="19"/>
      <c r="I37" s="19"/>
      <c r="J37" s="19"/>
      <c r="L37" s="26"/>
      <c r="M37" s="26"/>
    </row>
    <row r="38" spans="1:13" x14ac:dyDescent="0.2">
      <c r="A38" s="22"/>
      <c r="B38" s="22"/>
      <c r="D38" s="24"/>
      <c r="E38" s="19"/>
      <c r="F38" s="19"/>
      <c r="G38" s="19"/>
      <c r="H38" s="19"/>
      <c r="I38" s="19"/>
      <c r="J38" s="19"/>
      <c r="L38" s="26"/>
      <c r="M38" s="26"/>
    </row>
    <row r="39" spans="1:13" x14ac:dyDescent="0.2">
      <c r="A39" s="22"/>
      <c r="B39" s="22"/>
      <c r="D39" s="24"/>
      <c r="E39" s="19"/>
      <c r="F39" s="19"/>
      <c r="G39" s="19"/>
      <c r="H39" s="19"/>
      <c r="I39" s="19"/>
      <c r="J39" s="19"/>
      <c r="L39" s="26"/>
      <c r="M39" s="26"/>
    </row>
    <row r="40" spans="1:13" x14ac:dyDescent="0.2">
      <c r="A40" s="22"/>
      <c r="B40" s="22"/>
      <c r="D40" s="24"/>
      <c r="E40" s="19"/>
      <c r="F40" s="19"/>
      <c r="G40" s="19"/>
      <c r="H40" s="19"/>
      <c r="I40" s="19"/>
      <c r="J40" s="19"/>
      <c r="L40" s="26"/>
      <c r="M40" s="26"/>
    </row>
    <row r="41" spans="1:13" x14ac:dyDescent="0.2">
      <c r="L41" s="26"/>
      <c r="M41" s="26"/>
    </row>
    <row r="42" spans="1:13" x14ac:dyDescent="0.2">
      <c r="L42" s="26"/>
      <c r="M42" s="26"/>
    </row>
    <row r="43" spans="1:13" x14ac:dyDescent="0.2">
      <c r="L43" s="26"/>
      <c r="M43" s="26"/>
    </row>
    <row r="44" spans="1:13" x14ac:dyDescent="0.2">
      <c r="L44" s="26"/>
      <c r="M44" s="26"/>
    </row>
  </sheetData>
  <mergeCells count="6">
    <mergeCell ref="A2:A4"/>
    <mergeCell ref="A6:A8"/>
    <mergeCell ref="A10:A12"/>
    <mergeCell ref="B2:B4"/>
    <mergeCell ref="B6:B8"/>
    <mergeCell ref="B10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30C74-5D3D-4140-98C1-A6779936EBBB}">
  <dimension ref="A1:O52"/>
  <sheetViews>
    <sheetView workbookViewId="0">
      <selection activeCell="I33" sqref="I33"/>
    </sheetView>
  </sheetViews>
  <sheetFormatPr baseColWidth="10" defaultColWidth="8.83203125" defaultRowHeight="19" x14ac:dyDescent="0.2"/>
  <cols>
    <col min="1" max="1" width="28.6640625" style="5" customWidth="1"/>
    <col min="2" max="2" width="31" style="5" customWidth="1"/>
    <col min="3" max="3" width="16.1640625" style="5" customWidth="1"/>
    <col min="4" max="4" width="19.5" style="5" bestFit="1" customWidth="1"/>
    <col min="5" max="5" width="13.83203125" style="5" customWidth="1"/>
    <col min="6" max="11" width="19.1640625" style="12" customWidth="1"/>
    <col min="12" max="12" width="21" style="95" customWidth="1"/>
    <col min="13" max="15" width="19.1640625" style="12" customWidth="1"/>
    <col min="16" max="16384" width="8.83203125" style="5"/>
  </cols>
  <sheetData>
    <row r="1" spans="1:15" s="60" customFormat="1" ht="67" thickBot="1" x14ac:dyDescent="0.25">
      <c r="A1" s="55" t="s">
        <v>61</v>
      </c>
      <c r="B1" s="55" t="s">
        <v>95</v>
      </c>
      <c r="C1" s="55" t="s">
        <v>62</v>
      </c>
      <c r="D1" s="55" t="s">
        <v>22</v>
      </c>
      <c r="E1" s="55" t="s">
        <v>0</v>
      </c>
      <c r="F1" s="56" t="s">
        <v>3</v>
      </c>
      <c r="G1" s="56" t="s">
        <v>56</v>
      </c>
      <c r="H1" s="57" t="s">
        <v>59</v>
      </c>
      <c r="I1" s="57" t="s">
        <v>58</v>
      </c>
      <c r="J1" s="57" t="s">
        <v>57</v>
      </c>
      <c r="K1" s="56" t="s">
        <v>5</v>
      </c>
      <c r="L1" s="94" t="s">
        <v>144</v>
      </c>
      <c r="M1" s="58" t="s">
        <v>73</v>
      </c>
      <c r="N1" s="58" t="s">
        <v>71</v>
      </c>
      <c r="O1" s="59" t="s">
        <v>72</v>
      </c>
    </row>
    <row r="2" spans="1:15" ht="20" x14ac:dyDescent="0.2">
      <c r="A2" s="79" t="s">
        <v>83</v>
      </c>
      <c r="B2" s="79" t="s">
        <v>96</v>
      </c>
      <c r="C2" s="80">
        <v>0</v>
      </c>
      <c r="D2" s="5" t="s">
        <v>140</v>
      </c>
      <c r="E2" s="4" t="s">
        <v>7</v>
      </c>
      <c r="F2" s="6">
        <v>0.60518292679999997</v>
      </c>
      <c r="G2" s="6">
        <v>0.89824695119999998</v>
      </c>
      <c r="H2" s="6">
        <v>0.65191332410000002</v>
      </c>
      <c r="I2" s="6">
        <v>0.43489583329999998</v>
      </c>
      <c r="J2" s="6">
        <v>9.8591549299999998E-2</v>
      </c>
      <c r="K2" s="6">
        <v>0.68544860669999996</v>
      </c>
      <c r="L2" s="95">
        <f>SUM(F2,K2)/2</f>
        <v>0.64531576675000002</v>
      </c>
      <c r="M2" s="26">
        <f>H2*1/3+I2*1/3+J2*1/3</f>
        <v>0.39513356890000001</v>
      </c>
      <c r="N2" s="26">
        <f>STDEV(H2:J2)</f>
        <v>0.27879566867083339</v>
      </c>
      <c r="O2" s="12">
        <f>SUMPRODUCT(H2:J2,$D$26:$F$26)/SUM($D$26:$F$26)</f>
        <v>0.15905989481147539</v>
      </c>
    </row>
    <row r="3" spans="1:15" ht="20" x14ac:dyDescent="0.2">
      <c r="A3" s="77"/>
      <c r="B3" s="77"/>
      <c r="C3" s="78"/>
      <c r="D3" s="5" t="s">
        <v>23</v>
      </c>
      <c r="E3" s="4" t="s">
        <v>8</v>
      </c>
      <c r="F3" s="19">
        <v>0.71532012199999995</v>
      </c>
      <c r="G3" s="19">
        <v>0.88452743899999997</v>
      </c>
      <c r="H3" s="19">
        <v>0.82664822500000001</v>
      </c>
      <c r="I3" s="19">
        <v>0.20572916669999999</v>
      </c>
      <c r="J3" s="19">
        <v>7.0422535199999997E-2</v>
      </c>
      <c r="K3" s="19">
        <v>0.73983099360000004</v>
      </c>
      <c r="L3" s="95">
        <f t="shared" ref="L3:L4" si="0">SUM(F3,K3)/2</f>
        <v>0.72757555780000005</v>
      </c>
      <c r="M3" s="26">
        <f>H3*1/3+I3*1/3+J3*1/3</f>
        <v>0.36759997563333335</v>
      </c>
      <c r="N3" s="26">
        <f t="shared" ref="N3:N4" si="1">STDEV(H3:J3)</f>
        <v>0.40326287030536323</v>
      </c>
      <c r="O3" s="12">
        <f>SUMPRODUCT(H3:J3,$D$26:$F$26)/SUM($D$26:$F$26)</f>
        <v>0.10787245163360654</v>
      </c>
    </row>
    <row r="4" spans="1:15" ht="20" x14ac:dyDescent="0.2">
      <c r="A4" s="77"/>
      <c r="B4" s="77"/>
      <c r="C4" s="78"/>
      <c r="D4" s="5" t="s">
        <v>24</v>
      </c>
      <c r="E4" s="4" t="s">
        <v>9</v>
      </c>
      <c r="F4" s="26">
        <v>0.78048780490000003</v>
      </c>
      <c r="G4" s="26">
        <v>0.85670731710000003</v>
      </c>
      <c r="H4" s="26">
        <v>0.94006454589999999</v>
      </c>
      <c r="I4" s="26">
        <v>0</v>
      </c>
      <c r="J4" s="26">
        <v>0.1267605634</v>
      </c>
      <c r="K4" s="26">
        <v>0.50378384080000005</v>
      </c>
      <c r="L4" s="95">
        <f t="shared" si="0"/>
        <v>0.64213582285000004</v>
      </c>
      <c r="M4" s="26">
        <f>H4*1/3+I4*1/3+J4*1/3</f>
        <v>0.35560836976666665</v>
      </c>
      <c r="N4" s="26">
        <f t="shared" si="1"/>
        <v>0.51010668146346583</v>
      </c>
      <c r="O4" s="12">
        <f>SUMPRODUCT(H4:J4,$D$26:$F$26)/SUM($D$26:$F$26)</f>
        <v>0.12909648446311475</v>
      </c>
    </row>
    <row r="5" spans="1:15" x14ac:dyDescent="0.2">
      <c r="A5" s="77"/>
      <c r="B5" s="77"/>
      <c r="C5" s="21"/>
      <c r="E5" s="4"/>
      <c r="F5" s="6"/>
      <c r="G5" s="6"/>
      <c r="H5" s="6"/>
      <c r="I5" s="6"/>
      <c r="J5" s="6"/>
      <c r="K5" s="6"/>
      <c r="L5" s="97"/>
      <c r="M5" s="26"/>
      <c r="N5" s="26"/>
    </row>
    <row r="6" spans="1:15" ht="20" x14ac:dyDescent="0.2">
      <c r="A6" s="77"/>
      <c r="B6" s="77"/>
      <c r="C6" s="78">
        <v>10</v>
      </c>
      <c r="D6" s="5" t="s">
        <v>140</v>
      </c>
      <c r="E6" s="4" t="s">
        <v>7</v>
      </c>
      <c r="F6" s="19">
        <v>0.67149390239999995</v>
      </c>
      <c r="G6" s="19">
        <v>0.87309451220000001</v>
      </c>
      <c r="H6" s="19">
        <v>0.75472567999999995</v>
      </c>
      <c r="I6" s="19">
        <v>0.3046875</v>
      </c>
      <c r="J6" s="19">
        <v>0.11267605629999999</v>
      </c>
      <c r="K6" s="19">
        <v>0.73476295459999996</v>
      </c>
      <c r="L6" s="95">
        <f>SUM(F6,K6)/2</f>
        <v>0.7031284284999999</v>
      </c>
      <c r="M6" s="26">
        <f>H6*1/3+I6*1/3+J6*1/3</f>
        <v>0.3906964121</v>
      </c>
      <c r="N6" s="26">
        <f>STDEV(H6:J6)</f>
        <v>0.32955284787693312</v>
      </c>
      <c r="O6" s="12">
        <f>SUMPRODUCT(H6:J6,$D$26:$F$26)/SUM($D$26:$F$26)</f>
        <v>0.15521985477540981</v>
      </c>
    </row>
    <row r="7" spans="1:15" ht="20" x14ac:dyDescent="0.2">
      <c r="A7" s="77"/>
      <c r="B7" s="77"/>
      <c r="C7" s="78"/>
      <c r="D7" s="5" t="s">
        <v>23</v>
      </c>
      <c r="E7" s="4" t="s">
        <v>8</v>
      </c>
      <c r="F7" s="26">
        <v>0.70388719509999997</v>
      </c>
      <c r="G7" s="26">
        <v>0.89176829270000002</v>
      </c>
      <c r="H7" s="26">
        <v>0.8045182112</v>
      </c>
      <c r="I7" s="26">
        <v>0.20833333330000001</v>
      </c>
      <c r="J7" s="26">
        <v>0.30985915489999999</v>
      </c>
      <c r="K7" s="26">
        <v>0.70778481859999998</v>
      </c>
      <c r="L7" s="95">
        <f t="shared" ref="L7:L8" si="2">SUM(F7,K7)/2</f>
        <v>0.70583600685000003</v>
      </c>
      <c r="M7" s="26">
        <f>H7*1/3+I7*1/3+J7*1/3</f>
        <v>0.44090356646666662</v>
      </c>
      <c r="N7" s="26">
        <f t="shared" ref="N7:N8" si="3">STDEV(H7:J7)</f>
        <v>0.31896485779988359</v>
      </c>
      <c r="O7" s="12">
        <f>SUMPRODUCT(H7:J7,$D$26:$F$26)/SUM($D$26:$F$26)</f>
        <v>0.30787586147131152</v>
      </c>
    </row>
    <row r="8" spans="1:15" ht="20" x14ac:dyDescent="0.2">
      <c r="A8" s="77"/>
      <c r="B8" s="77"/>
      <c r="C8" s="78"/>
      <c r="D8" s="5" t="s">
        <v>24</v>
      </c>
      <c r="E8" s="4" t="s">
        <v>9</v>
      </c>
      <c r="F8" s="6">
        <v>0.23246951220000001</v>
      </c>
      <c r="G8" s="6">
        <v>0.46112804880000002</v>
      </c>
      <c r="H8" s="6">
        <v>0.1853388658</v>
      </c>
      <c r="I8" s="6">
        <v>0.49479166670000002</v>
      </c>
      <c r="J8" s="6">
        <v>0.2535211268</v>
      </c>
      <c r="K8" s="6">
        <v>0.46718656149999999</v>
      </c>
      <c r="L8" s="95">
        <f t="shared" si="2"/>
        <v>0.34982803684999997</v>
      </c>
      <c r="M8" s="26">
        <f>H8*1/3+I8*1/3+J8*1/3</f>
        <v>0.31121721976666666</v>
      </c>
      <c r="N8" s="26">
        <f t="shared" si="3"/>
        <v>0.1625942445289115</v>
      </c>
      <c r="O8" s="12">
        <f>SUMPRODUCT(H8:J8,$D$26:$F$26)/SUM($D$26:$F$26)</f>
        <v>0.28546417922049183</v>
      </c>
    </row>
    <row r="9" spans="1:15" x14ac:dyDescent="0.2">
      <c r="A9" s="77"/>
      <c r="B9" s="77"/>
      <c r="C9" s="21"/>
      <c r="E9" s="4"/>
      <c r="F9" s="6"/>
      <c r="G9" s="6"/>
      <c r="H9" s="6"/>
      <c r="I9" s="6"/>
      <c r="J9" s="6"/>
      <c r="K9" s="6"/>
      <c r="L9" s="97"/>
      <c r="M9" s="26"/>
      <c r="N9" s="26"/>
    </row>
    <row r="10" spans="1:15" ht="20" x14ac:dyDescent="0.2">
      <c r="A10" s="77"/>
      <c r="B10" s="77"/>
      <c r="C10" s="78">
        <v>20</v>
      </c>
      <c r="D10" s="5" t="s">
        <v>140</v>
      </c>
      <c r="E10" s="4" t="s">
        <v>7</v>
      </c>
      <c r="F10" s="67">
        <v>0.59908536590000006</v>
      </c>
      <c r="G10" s="26">
        <v>0.91692073169999999</v>
      </c>
      <c r="H10" s="26">
        <v>0.65836791149999996</v>
      </c>
      <c r="I10" s="26">
        <v>0.3671875</v>
      </c>
      <c r="J10" s="26">
        <v>4.2253521099999997E-2</v>
      </c>
      <c r="K10" s="26">
        <v>0.68091049619999999</v>
      </c>
      <c r="L10" s="95">
        <f>SUM(F10,K10)/2</f>
        <v>0.63999793105000002</v>
      </c>
      <c r="M10" s="26">
        <f>H10*1/3+I10*1/3+J10*1/3</f>
        <v>0.35593631086666666</v>
      </c>
      <c r="N10" s="26">
        <f t="shared" ref="N10:N20" si="4">STDEV(H10:J10)</f>
        <v>0.30821125459200288</v>
      </c>
      <c r="O10" s="12">
        <f>SUMPRODUCT(H10:J10,$D$26:$F$26)/SUM($D$26:$F$26)</f>
        <v>0.10268156054672131</v>
      </c>
    </row>
    <row r="11" spans="1:15" ht="20" x14ac:dyDescent="0.2">
      <c r="A11" s="77"/>
      <c r="B11" s="77"/>
      <c r="C11" s="78"/>
      <c r="D11" s="5" t="s">
        <v>23</v>
      </c>
      <c r="E11" s="4" t="s">
        <v>8</v>
      </c>
      <c r="F11" s="6">
        <v>0.7118902439</v>
      </c>
      <c r="G11" s="6">
        <v>0.87881097559999999</v>
      </c>
      <c r="H11" s="6">
        <v>0.81834946980000001</v>
      </c>
      <c r="I11" s="6">
        <v>0.21354166669999999</v>
      </c>
      <c r="J11" s="6">
        <v>0.1549295775</v>
      </c>
      <c r="K11" s="6">
        <v>0.77931160200000005</v>
      </c>
      <c r="L11" s="95">
        <f t="shared" ref="L11:L12" si="5">SUM(F11,K11)/2</f>
        <v>0.74560092295000002</v>
      </c>
      <c r="M11" s="26">
        <f>H11*1/3+I11*1/3+J11*1/3</f>
        <v>0.39560690466666665</v>
      </c>
      <c r="N11" s="26">
        <f t="shared" si="4"/>
        <v>0.36727687312398277</v>
      </c>
      <c r="O11" s="12">
        <f>SUMPRODUCT(H11:J11,$D$26:$F$26)/SUM($D$26:$F$26)</f>
        <v>0.17941043974016394</v>
      </c>
    </row>
    <row r="12" spans="1:15" ht="20" x14ac:dyDescent="0.2">
      <c r="A12" s="77"/>
      <c r="B12" s="77"/>
      <c r="C12" s="78"/>
      <c r="D12" s="5" t="s">
        <v>24</v>
      </c>
      <c r="E12" s="4" t="s">
        <v>9</v>
      </c>
      <c r="F12" s="19">
        <v>0.42111280490000003</v>
      </c>
      <c r="G12" s="19">
        <v>0.58079268289999997</v>
      </c>
      <c r="H12" s="19">
        <v>0.42784693410000002</v>
      </c>
      <c r="I12" s="19">
        <v>0.4296875</v>
      </c>
      <c r="J12" s="19">
        <v>0.16901408449999999</v>
      </c>
      <c r="K12" s="19">
        <v>0.49644469029999999</v>
      </c>
      <c r="L12" s="95">
        <f t="shared" si="5"/>
        <v>0.45877874760000004</v>
      </c>
      <c r="M12" s="26">
        <f>H12*1/3+I12*1/3+J12*1/3</f>
        <v>0.34218283953333334</v>
      </c>
      <c r="N12" s="26">
        <f t="shared" si="4"/>
        <v>0.14997136463523317</v>
      </c>
      <c r="O12" s="12">
        <f>SUMPRODUCT(H12:J12,$D$26:$F$26)/SUM($D$26:$F$26)</f>
        <v>0.21170217148606557</v>
      </c>
    </row>
    <row r="13" spans="1:15" x14ac:dyDescent="0.2">
      <c r="A13" s="77"/>
      <c r="B13" s="77"/>
      <c r="C13" s="21"/>
      <c r="E13" s="4"/>
      <c r="F13" s="6"/>
      <c r="G13" s="6"/>
      <c r="H13" s="6"/>
      <c r="I13" s="6"/>
      <c r="J13" s="6"/>
      <c r="K13" s="6"/>
      <c r="L13" s="97"/>
      <c r="M13" s="26"/>
      <c r="N13" s="26"/>
    </row>
    <row r="14" spans="1:15" ht="20" x14ac:dyDescent="0.2">
      <c r="A14" s="77"/>
      <c r="B14" s="77"/>
      <c r="C14" s="78">
        <v>30</v>
      </c>
      <c r="D14" s="5" t="s">
        <v>140</v>
      </c>
      <c r="E14" s="4" t="s">
        <v>7</v>
      </c>
      <c r="F14" s="26">
        <v>0.61775914629999995</v>
      </c>
      <c r="G14" s="26">
        <v>0.82736280490000003</v>
      </c>
      <c r="H14" s="26">
        <v>0.70032272939999995</v>
      </c>
      <c r="I14" s="26">
        <v>0.234375</v>
      </c>
      <c r="J14" s="26">
        <v>0.16901408449999999</v>
      </c>
      <c r="K14" s="26">
        <v>0.71088839550000005</v>
      </c>
      <c r="L14" s="95">
        <f>SUM(F14,K14)/2</f>
        <v>0.66432377090000005</v>
      </c>
      <c r="M14" s="26">
        <f>H14*1/3+I14*1/3+J14*1/3</f>
        <v>0.36790393796666665</v>
      </c>
      <c r="N14" s="26">
        <f t="shared" si="4"/>
        <v>0.289732121091618</v>
      </c>
      <c r="O14" s="12">
        <f>SUMPRODUCT(H14:J14,$D$26:$F$26)/SUM($D$26:$F$26)</f>
        <v>0.19118671973114754</v>
      </c>
    </row>
    <row r="15" spans="1:15" ht="20" x14ac:dyDescent="0.2">
      <c r="A15" s="77"/>
      <c r="B15" s="77"/>
      <c r="C15" s="78"/>
      <c r="D15" s="5" t="s">
        <v>23</v>
      </c>
      <c r="E15" s="4" t="s">
        <v>8</v>
      </c>
      <c r="F15" s="26">
        <v>0.70388719509999997</v>
      </c>
      <c r="G15" s="26">
        <v>0.83803353660000002</v>
      </c>
      <c r="H15" s="26">
        <v>0.83863531579999995</v>
      </c>
      <c r="I15" s="26">
        <v>5.72916667E-2</v>
      </c>
      <c r="J15" s="26">
        <v>8.4507042300000002E-2</v>
      </c>
      <c r="K15" s="26">
        <v>0.7951218136</v>
      </c>
      <c r="L15" s="95">
        <f t="shared" ref="L15:L16" si="6">SUM(F15,K15)/2</f>
        <v>0.74950450434999993</v>
      </c>
      <c r="M15" s="26">
        <f>H15*1/3+I15*1/3+J15*1/3</f>
        <v>0.32681134159999997</v>
      </c>
      <c r="N15" s="26">
        <f t="shared" si="4"/>
        <v>0.44346139019273595</v>
      </c>
      <c r="O15" s="12">
        <f>SUMPRODUCT(H15:J15,$D$26:$F$26)/SUM($D$26:$F$26)</f>
        <v>9.9258873736885245E-2</v>
      </c>
    </row>
    <row r="16" spans="1:15" ht="20" x14ac:dyDescent="0.2">
      <c r="A16" s="77"/>
      <c r="B16" s="77"/>
      <c r="C16" s="78"/>
      <c r="D16" s="5" t="s">
        <v>24</v>
      </c>
      <c r="E16" s="4" t="s">
        <v>9</v>
      </c>
      <c r="F16" s="26">
        <v>0.144054878</v>
      </c>
      <c r="G16" s="26">
        <v>0.17568597559999999</v>
      </c>
      <c r="H16" s="26">
        <v>9.2208389999999996E-4</v>
      </c>
      <c r="I16" s="26">
        <v>0.9765625</v>
      </c>
      <c r="J16" s="26">
        <v>1.4084507E-2</v>
      </c>
      <c r="K16" s="26">
        <v>0.36442804410000001</v>
      </c>
      <c r="L16" s="95">
        <f t="shared" si="6"/>
        <v>0.25424146105000001</v>
      </c>
      <c r="M16" s="26">
        <f>H16*1/3+I16*1/3+J16*1/3</f>
        <v>0.33052303029999996</v>
      </c>
      <c r="N16" s="26">
        <f t="shared" si="4"/>
        <v>0.55952529849253352</v>
      </c>
      <c r="O16" s="12">
        <f>SUMPRODUCT(H16:J16,$D$26:$F$26)/SUM($D$26:$F$26)</f>
        <v>0.14787662676803279</v>
      </c>
    </row>
    <row r="17" spans="1:15" x14ac:dyDescent="0.2">
      <c r="A17" s="77"/>
      <c r="B17" s="77"/>
      <c r="C17" s="23"/>
      <c r="E17" s="24"/>
      <c r="F17" s="19"/>
      <c r="G17" s="19"/>
      <c r="H17" s="19"/>
      <c r="I17" s="19"/>
      <c r="J17" s="19"/>
      <c r="K17" s="19"/>
      <c r="L17" s="96"/>
      <c r="M17" s="26"/>
      <c r="N17" s="26"/>
    </row>
    <row r="18" spans="1:15" ht="20" x14ac:dyDescent="0.2">
      <c r="A18" s="77"/>
      <c r="B18" s="77"/>
      <c r="C18" s="78">
        <v>100</v>
      </c>
      <c r="D18" s="5" t="s">
        <v>140</v>
      </c>
      <c r="E18" s="4" t="s">
        <v>7</v>
      </c>
      <c r="F18" s="6">
        <v>0.42835365850000001</v>
      </c>
      <c r="G18" s="6">
        <v>0.76295731710000003</v>
      </c>
      <c r="H18" s="6">
        <v>0.44306131859999998</v>
      </c>
      <c r="I18" s="6">
        <v>0.39583333329999998</v>
      </c>
      <c r="J18" s="6">
        <v>0.1549295775</v>
      </c>
      <c r="K18" s="6">
        <v>0.56211542520000002</v>
      </c>
      <c r="L18" s="95">
        <f>SUM(F18,K18)/2</f>
        <v>0.49523454185000004</v>
      </c>
      <c r="M18" s="26">
        <f>H18*1/3+I18*1/3+J18*1/3</f>
        <v>0.33127474313333333</v>
      </c>
      <c r="N18" s="26">
        <f t="shared" si="4"/>
        <v>0.15453424775938834</v>
      </c>
      <c r="O18" s="12">
        <f>SUMPRODUCT(H18:J18,$D$26:$F$26)/SUM($D$26:$F$26)</f>
        <v>0.19558334038442624</v>
      </c>
    </row>
    <row r="19" spans="1:15" ht="20" x14ac:dyDescent="0.2">
      <c r="A19" s="77"/>
      <c r="B19" s="77"/>
      <c r="C19" s="78"/>
      <c r="D19" s="5" t="s">
        <v>23</v>
      </c>
      <c r="E19" s="4" t="s">
        <v>8</v>
      </c>
      <c r="F19" s="6">
        <v>0.75800304880000002</v>
      </c>
      <c r="G19" s="6">
        <v>0.80945121949999999</v>
      </c>
      <c r="H19" s="6">
        <v>0.90871369290000004</v>
      </c>
      <c r="I19" s="6">
        <v>4.6875E-2</v>
      </c>
      <c r="J19" s="6">
        <v>0</v>
      </c>
      <c r="K19" s="6">
        <v>0.70333462499999999</v>
      </c>
      <c r="L19" s="95">
        <f t="shared" ref="L19:L20" si="7">SUM(F19,K19)/2</f>
        <v>0.73066883690000006</v>
      </c>
      <c r="M19" s="26">
        <f>H19*1/3+I19*1/3+J19*1/3</f>
        <v>0.31852956430000001</v>
      </c>
      <c r="N19" s="26">
        <f t="shared" si="4"/>
        <v>0.51165153732277202</v>
      </c>
      <c r="O19" s="12">
        <f>SUMPRODUCT(H19:J19,$D$26:$F$26)/SUM($D$26:$F$26)</f>
        <v>2.8877180972950819E-2</v>
      </c>
    </row>
    <row r="20" spans="1:15" ht="20" x14ac:dyDescent="0.2">
      <c r="A20" s="77"/>
      <c r="B20" s="77"/>
      <c r="C20" s="78"/>
      <c r="D20" s="5" t="s">
        <v>24</v>
      </c>
      <c r="E20" s="4" t="s">
        <v>9</v>
      </c>
      <c r="F20" s="6">
        <v>0.75838414629999995</v>
      </c>
      <c r="G20" s="6">
        <v>0.82431402440000001</v>
      </c>
      <c r="H20" s="6">
        <v>0.91101890269999997</v>
      </c>
      <c r="I20" s="6">
        <v>5.2083333000000004E-3</v>
      </c>
      <c r="J20" s="6">
        <v>0.16901408449999999</v>
      </c>
      <c r="K20" s="6">
        <v>0.58367710129999995</v>
      </c>
      <c r="L20" s="95">
        <f t="shared" si="7"/>
        <v>0.67103062379999989</v>
      </c>
      <c r="M20" s="26">
        <f>H20*1/3+I20*1/3+J20*1/3</f>
        <v>0.36174710683333333</v>
      </c>
      <c r="N20" s="26">
        <f t="shared" si="4"/>
        <v>0.48268282581058747</v>
      </c>
      <c r="O20" s="12">
        <f>SUMPRODUCT(H20:J20,$D$26:$F$26)/SUM($D$26:$F$26)</f>
        <v>0.16443471305901639</v>
      </c>
    </row>
    <row r="21" spans="1:15" x14ac:dyDescent="0.2">
      <c r="A21" s="24"/>
      <c r="B21" s="24"/>
      <c r="C21" s="23"/>
      <c r="E21" s="24"/>
      <c r="F21" s="19"/>
      <c r="G21" s="19"/>
      <c r="H21" s="19"/>
      <c r="I21" s="19"/>
      <c r="J21" s="19"/>
      <c r="K21" s="19"/>
      <c r="L21" s="96"/>
      <c r="M21" s="26"/>
      <c r="N21" s="26"/>
    </row>
    <row r="22" spans="1:15" x14ac:dyDescent="0.2">
      <c r="A22" s="22"/>
      <c r="B22" s="22"/>
      <c r="C22" s="23"/>
      <c r="E22" s="24"/>
      <c r="F22" s="19"/>
      <c r="G22" s="19"/>
      <c r="H22" s="19"/>
      <c r="I22" s="19"/>
      <c r="J22" s="19"/>
      <c r="K22" s="19"/>
      <c r="L22" s="96"/>
      <c r="M22" s="26"/>
      <c r="N22" s="26"/>
    </row>
    <row r="23" spans="1:15" x14ac:dyDescent="0.2">
      <c r="A23" s="22"/>
      <c r="B23" s="22"/>
      <c r="C23" s="23"/>
      <c r="E23" s="24"/>
      <c r="F23" s="19"/>
      <c r="G23" s="19"/>
      <c r="H23" s="19"/>
      <c r="I23" s="19"/>
      <c r="J23" s="19"/>
      <c r="K23" s="19"/>
      <c r="L23" s="96"/>
      <c r="M23" s="26"/>
      <c r="N23" s="26"/>
    </row>
    <row r="24" spans="1:15" x14ac:dyDescent="0.2">
      <c r="A24" s="22"/>
      <c r="B24" s="22"/>
      <c r="C24" s="23"/>
      <c r="E24" s="24"/>
      <c r="F24" s="19"/>
      <c r="G24" s="19"/>
      <c r="H24" s="19"/>
      <c r="I24" s="19"/>
      <c r="J24" s="19"/>
      <c r="K24" s="19"/>
      <c r="L24" s="96"/>
      <c r="M24" s="26"/>
      <c r="N24" s="26"/>
    </row>
    <row r="25" spans="1:15" x14ac:dyDescent="0.2">
      <c r="A25" s="24"/>
      <c r="B25" s="24"/>
      <c r="C25" s="31" t="s">
        <v>93</v>
      </c>
      <c r="D25" s="30" t="s">
        <v>89</v>
      </c>
      <c r="E25" s="32" t="s">
        <v>90</v>
      </c>
      <c r="F25" s="33" t="s">
        <v>91</v>
      </c>
      <c r="G25" s="19"/>
      <c r="H25" s="19"/>
      <c r="I25" s="19"/>
      <c r="J25" s="19"/>
      <c r="K25" s="20" t="s">
        <v>97</v>
      </c>
      <c r="L25" s="46">
        <f>MAX(L2:L23)</f>
        <v>0.74950450434999993</v>
      </c>
      <c r="M25" s="46">
        <f>MAX(M2:M23)</f>
        <v>0.44090356646666662</v>
      </c>
      <c r="N25" s="46">
        <f>MAX(N2:N23)</f>
        <v>0.55952529849253352</v>
      </c>
      <c r="O25" s="46">
        <f>MAX(O2:O23)</f>
        <v>0.30787586147131152</v>
      </c>
    </row>
    <row r="26" spans="1:15" x14ac:dyDescent="0.2">
      <c r="A26" s="22"/>
      <c r="B26" s="22"/>
      <c r="C26" s="31" t="s">
        <v>92</v>
      </c>
      <c r="D26" s="35">
        <f>1/34</f>
        <v>2.9411764705882353E-2</v>
      </c>
      <c r="E26" s="36">
        <f>1/6</f>
        <v>0.16666666666666666</v>
      </c>
      <c r="F26" s="36">
        <f>1/1</f>
        <v>1</v>
      </c>
      <c r="G26" s="19"/>
      <c r="H26" s="19"/>
      <c r="I26" s="19"/>
      <c r="J26" s="19"/>
      <c r="K26" s="20" t="s">
        <v>86</v>
      </c>
      <c r="L26" s="46">
        <f>MIN(L2:L20)</f>
        <v>0.25424146105000001</v>
      </c>
      <c r="M26" s="46">
        <f>MIN(M2:M20)</f>
        <v>0.31121721976666666</v>
      </c>
      <c r="N26" s="46">
        <f>MIN(N2:N20)</f>
        <v>0.14997136463523317</v>
      </c>
      <c r="O26" s="46">
        <f>MIN(O2:O20)</f>
        <v>2.8877180972950819E-2</v>
      </c>
    </row>
    <row r="27" spans="1:15" x14ac:dyDescent="0.2">
      <c r="A27" s="22"/>
      <c r="B27" s="22"/>
      <c r="C27" s="23"/>
      <c r="E27" s="24"/>
      <c r="F27" s="19"/>
      <c r="G27" s="19"/>
      <c r="H27" s="19"/>
      <c r="I27" s="19"/>
      <c r="J27" s="19"/>
      <c r="K27" s="20" t="s">
        <v>98</v>
      </c>
      <c r="L27" s="46">
        <f>AVERAGE(L2:L23)</f>
        <v>0.6122133973366668</v>
      </c>
      <c r="M27" s="46">
        <f>AVERAGE(M2:M23)</f>
        <v>0.35944499278888897</v>
      </c>
      <c r="N27" s="46">
        <f>AVERAGE(N2:N23)</f>
        <v>0.35135493891108294</v>
      </c>
      <c r="O27" s="46">
        <f>AVERAGE(O2:O23)</f>
        <v>0.16437335685338797</v>
      </c>
    </row>
    <row r="28" spans="1:15" x14ac:dyDescent="0.2">
      <c r="A28" s="22"/>
      <c r="B28" s="22"/>
      <c r="C28" s="23"/>
      <c r="E28" s="24"/>
      <c r="F28" s="19"/>
      <c r="G28" s="19"/>
      <c r="H28" s="19"/>
      <c r="I28" s="19"/>
      <c r="J28" s="19"/>
      <c r="K28" s="19"/>
      <c r="L28" s="96"/>
      <c r="M28" s="26"/>
      <c r="N28" s="26"/>
    </row>
    <row r="29" spans="1:15" x14ac:dyDescent="0.2">
      <c r="A29" s="24"/>
      <c r="B29" s="24"/>
      <c r="C29" s="23"/>
      <c r="E29" s="24"/>
      <c r="F29" s="19"/>
      <c r="G29" s="19"/>
      <c r="H29" s="19"/>
      <c r="I29" s="19"/>
      <c r="J29" s="19"/>
      <c r="K29" s="19"/>
      <c r="L29" s="96"/>
      <c r="M29" s="26"/>
      <c r="N29" s="26"/>
    </row>
    <row r="30" spans="1:15" x14ac:dyDescent="0.2">
      <c r="A30" s="22"/>
      <c r="B30" s="22"/>
      <c r="C30" s="23"/>
      <c r="E30" s="24"/>
      <c r="F30" s="19"/>
      <c r="G30" s="19"/>
      <c r="H30" s="19"/>
      <c r="I30" s="19"/>
      <c r="J30" s="19"/>
      <c r="K30" s="19"/>
      <c r="L30" s="96"/>
      <c r="M30" s="26"/>
      <c r="N30" s="26"/>
    </row>
    <row r="31" spans="1:15" x14ac:dyDescent="0.2">
      <c r="A31" s="22"/>
      <c r="B31" s="22"/>
      <c r="C31" s="23"/>
      <c r="E31" s="24"/>
      <c r="F31" s="19"/>
      <c r="G31" s="19"/>
      <c r="H31" s="19"/>
      <c r="I31" s="19"/>
      <c r="J31" s="19"/>
      <c r="K31" s="19"/>
      <c r="L31" s="96"/>
      <c r="M31" s="26"/>
      <c r="N31" s="26"/>
    </row>
    <row r="32" spans="1:15" x14ac:dyDescent="0.2">
      <c r="A32" s="22"/>
      <c r="B32" s="22"/>
      <c r="C32" s="23"/>
      <c r="E32" s="24"/>
      <c r="F32" s="19"/>
      <c r="G32" s="19"/>
      <c r="H32" s="19"/>
      <c r="I32" s="19"/>
      <c r="J32" s="19"/>
      <c r="K32" s="19"/>
      <c r="L32" s="96"/>
      <c r="M32" s="26"/>
      <c r="N32" s="26"/>
    </row>
    <row r="33" spans="1:14" x14ac:dyDescent="0.2">
      <c r="A33" s="24"/>
      <c r="B33" s="24"/>
      <c r="C33" s="24"/>
      <c r="E33" s="24"/>
      <c r="F33" s="19"/>
      <c r="G33" s="19"/>
      <c r="H33" s="19"/>
      <c r="I33" s="19"/>
      <c r="J33" s="19"/>
      <c r="K33" s="19"/>
      <c r="L33" s="96"/>
      <c r="M33" s="26"/>
      <c r="N33" s="26"/>
    </row>
    <row r="34" spans="1:14" x14ac:dyDescent="0.2">
      <c r="A34" s="22"/>
      <c r="B34" s="22"/>
      <c r="C34" s="22"/>
      <c r="E34" s="24"/>
      <c r="F34" s="19"/>
      <c r="G34" s="19"/>
      <c r="H34" s="19"/>
      <c r="I34" s="19"/>
      <c r="J34" s="19"/>
      <c r="K34" s="19"/>
      <c r="L34" s="96"/>
      <c r="M34" s="26"/>
      <c r="N34" s="26"/>
    </row>
    <row r="35" spans="1:14" x14ac:dyDescent="0.2">
      <c r="A35" s="22"/>
      <c r="B35" s="22"/>
      <c r="C35" s="22"/>
      <c r="E35" s="24"/>
      <c r="F35" s="19"/>
      <c r="G35" s="19"/>
      <c r="H35" s="19"/>
      <c r="I35" s="19"/>
      <c r="J35" s="19"/>
      <c r="K35" s="19"/>
      <c r="L35" s="96"/>
      <c r="M35" s="26"/>
      <c r="N35" s="26"/>
    </row>
    <row r="36" spans="1:14" x14ac:dyDescent="0.2">
      <c r="A36" s="22"/>
      <c r="B36" s="22"/>
      <c r="C36" s="22"/>
      <c r="E36" s="24"/>
      <c r="F36" s="19"/>
      <c r="G36" s="19"/>
      <c r="H36" s="19"/>
      <c r="I36" s="19"/>
      <c r="J36" s="19"/>
      <c r="K36" s="19"/>
      <c r="L36" s="96"/>
      <c r="M36" s="26"/>
      <c r="N36" s="26"/>
    </row>
    <row r="37" spans="1:14" x14ac:dyDescent="0.2">
      <c r="A37" s="24"/>
      <c r="B37" s="24"/>
      <c r="C37" s="22"/>
      <c r="E37" s="24"/>
      <c r="F37" s="19"/>
      <c r="G37" s="19"/>
      <c r="H37" s="19"/>
      <c r="I37" s="19"/>
      <c r="J37" s="19"/>
      <c r="K37" s="19"/>
      <c r="L37" s="96"/>
      <c r="M37" s="26"/>
      <c r="N37" s="26"/>
    </row>
    <row r="38" spans="1:14" x14ac:dyDescent="0.2">
      <c r="A38" s="22"/>
      <c r="B38" s="22"/>
      <c r="C38" s="22"/>
      <c r="E38" s="24"/>
      <c r="F38" s="19"/>
      <c r="G38" s="19"/>
      <c r="H38" s="19"/>
      <c r="I38" s="19"/>
      <c r="J38" s="19"/>
      <c r="K38" s="19"/>
      <c r="L38" s="96"/>
      <c r="M38" s="26"/>
      <c r="N38" s="26"/>
    </row>
    <row r="39" spans="1:14" x14ac:dyDescent="0.2">
      <c r="A39" s="22"/>
      <c r="B39" s="22"/>
      <c r="C39" s="22"/>
      <c r="E39" s="24"/>
      <c r="F39" s="19"/>
      <c r="G39" s="19"/>
      <c r="H39" s="19"/>
      <c r="I39" s="19"/>
      <c r="J39" s="19"/>
      <c r="K39" s="19"/>
      <c r="L39" s="96"/>
      <c r="M39" s="26"/>
      <c r="N39" s="26"/>
    </row>
    <row r="40" spans="1:14" x14ac:dyDescent="0.2">
      <c r="A40" s="22"/>
      <c r="B40" s="22"/>
      <c r="C40" s="22"/>
      <c r="E40" s="24"/>
      <c r="F40" s="19"/>
      <c r="G40" s="19"/>
      <c r="H40" s="19"/>
      <c r="I40" s="19"/>
      <c r="J40" s="19"/>
      <c r="K40" s="19"/>
      <c r="L40" s="96"/>
      <c r="M40" s="26"/>
      <c r="N40" s="26"/>
    </row>
    <row r="41" spans="1:14" x14ac:dyDescent="0.2">
      <c r="A41" s="24"/>
      <c r="B41" s="24"/>
      <c r="C41" s="22"/>
      <c r="E41" s="24"/>
      <c r="F41" s="19"/>
      <c r="G41" s="19"/>
      <c r="H41" s="19"/>
      <c r="I41" s="19"/>
      <c r="J41" s="19"/>
      <c r="K41" s="19"/>
      <c r="L41" s="96"/>
      <c r="M41" s="26"/>
      <c r="N41" s="26"/>
    </row>
    <row r="42" spans="1:14" x14ac:dyDescent="0.2">
      <c r="A42" s="22"/>
      <c r="B42" s="22"/>
      <c r="C42" s="22"/>
      <c r="E42" s="24"/>
      <c r="F42" s="19"/>
      <c r="G42" s="19"/>
      <c r="H42" s="19"/>
      <c r="I42" s="19"/>
      <c r="J42" s="19"/>
      <c r="K42" s="19"/>
      <c r="L42" s="96"/>
      <c r="M42" s="26"/>
      <c r="N42" s="26"/>
    </row>
    <row r="43" spans="1:14" x14ac:dyDescent="0.2">
      <c r="A43" s="22"/>
      <c r="B43" s="22"/>
      <c r="C43" s="22"/>
      <c r="E43" s="24"/>
      <c r="F43" s="19"/>
      <c r="G43" s="19"/>
      <c r="H43" s="19"/>
      <c r="I43" s="19"/>
      <c r="J43" s="19"/>
      <c r="K43" s="19"/>
      <c r="L43" s="96"/>
      <c r="M43" s="26"/>
      <c r="N43" s="26"/>
    </row>
    <row r="44" spans="1:14" x14ac:dyDescent="0.2">
      <c r="A44" s="22"/>
      <c r="B44" s="22"/>
      <c r="C44" s="22"/>
      <c r="E44" s="24"/>
      <c r="F44" s="19"/>
      <c r="G44" s="19"/>
      <c r="H44" s="19"/>
      <c r="I44" s="19"/>
      <c r="J44" s="19"/>
      <c r="K44" s="19"/>
      <c r="L44" s="96"/>
      <c r="M44" s="26"/>
      <c r="N44" s="26"/>
    </row>
    <row r="45" spans="1:14" x14ac:dyDescent="0.2">
      <c r="A45" s="24"/>
      <c r="B45" s="24"/>
      <c r="C45" s="22"/>
      <c r="E45" s="24"/>
      <c r="F45" s="19"/>
      <c r="G45" s="19"/>
      <c r="H45" s="19"/>
      <c r="I45" s="19"/>
      <c r="J45" s="19"/>
      <c r="K45" s="19"/>
      <c r="L45" s="96"/>
      <c r="M45" s="26"/>
      <c r="N45" s="26"/>
    </row>
    <row r="46" spans="1:14" x14ac:dyDescent="0.2">
      <c r="A46" s="22"/>
      <c r="B46" s="22"/>
      <c r="C46" s="22"/>
      <c r="E46" s="24"/>
      <c r="F46" s="19"/>
      <c r="G46" s="19"/>
      <c r="H46" s="19"/>
      <c r="I46" s="19"/>
      <c r="J46" s="19"/>
      <c r="K46" s="19"/>
      <c r="L46" s="96"/>
      <c r="M46" s="26"/>
      <c r="N46" s="26"/>
    </row>
    <row r="47" spans="1:14" x14ac:dyDescent="0.2">
      <c r="A47" s="22"/>
      <c r="B47" s="22"/>
      <c r="C47" s="22"/>
      <c r="E47" s="24"/>
      <c r="F47" s="19"/>
      <c r="G47" s="19"/>
      <c r="H47" s="19"/>
      <c r="I47" s="19"/>
      <c r="J47" s="19"/>
      <c r="K47" s="19"/>
      <c r="L47" s="96"/>
      <c r="M47" s="26"/>
      <c r="N47" s="26"/>
    </row>
    <row r="48" spans="1:14" x14ac:dyDescent="0.2">
      <c r="A48" s="22"/>
      <c r="B48" s="22"/>
      <c r="C48" s="22"/>
      <c r="E48" s="24"/>
      <c r="F48" s="19"/>
      <c r="G48" s="19"/>
      <c r="H48" s="19"/>
      <c r="I48" s="19"/>
      <c r="J48" s="19"/>
      <c r="K48" s="19"/>
      <c r="L48" s="96"/>
      <c r="M48" s="26"/>
      <c r="N48" s="26"/>
    </row>
    <row r="49" spans="13:14" x14ac:dyDescent="0.2">
      <c r="M49" s="26"/>
      <c r="N49" s="26"/>
    </row>
    <row r="50" spans="13:14" x14ac:dyDescent="0.2">
      <c r="M50" s="26"/>
      <c r="N50" s="26"/>
    </row>
    <row r="51" spans="13:14" x14ac:dyDescent="0.2">
      <c r="M51" s="26"/>
      <c r="N51" s="26"/>
    </row>
    <row r="52" spans="13:14" x14ac:dyDescent="0.2">
      <c r="M52" s="26"/>
      <c r="N52" s="26"/>
    </row>
  </sheetData>
  <mergeCells count="7">
    <mergeCell ref="C10:C12"/>
    <mergeCell ref="C14:C16"/>
    <mergeCell ref="C18:C20"/>
    <mergeCell ref="A2:A20"/>
    <mergeCell ref="C2:C4"/>
    <mergeCell ref="C6:C8"/>
    <mergeCell ref="B2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FDBF-6E58-8148-821B-47274FA4A935}">
  <dimension ref="A1:N52"/>
  <sheetViews>
    <sheetView workbookViewId="0">
      <selection activeCell="L19" sqref="L19"/>
    </sheetView>
  </sheetViews>
  <sheetFormatPr baseColWidth="10" defaultRowHeight="19" x14ac:dyDescent="0.25"/>
  <cols>
    <col min="1" max="1" width="25.6640625" style="28" customWidth="1"/>
    <col min="2" max="2" width="23" style="28" customWidth="1"/>
    <col min="3" max="3" width="21.5" style="28" customWidth="1"/>
    <col min="4" max="4" width="14.6640625" style="28" customWidth="1"/>
    <col min="5" max="10" width="17.5" style="12" customWidth="1"/>
    <col min="11" max="11" width="17.5" style="95" customWidth="1"/>
    <col min="12" max="14" width="17.5" style="12" customWidth="1"/>
    <col min="15" max="16384" width="10.83203125" style="28"/>
  </cols>
  <sheetData>
    <row r="1" spans="1:14" s="54" customFormat="1" ht="89" customHeight="1" thickBot="1" x14ac:dyDescent="0.3">
      <c r="A1" s="49" t="s">
        <v>63</v>
      </c>
      <c r="B1" s="49" t="s">
        <v>95</v>
      </c>
      <c r="C1" s="50" t="s">
        <v>22</v>
      </c>
      <c r="D1" s="50" t="s">
        <v>0</v>
      </c>
      <c r="E1" s="51" t="s">
        <v>3</v>
      </c>
      <c r="F1" s="51" t="s">
        <v>56</v>
      </c>
      <c r="G1" s="51" t="s">
        <v>59</v>
      </c>
      <c r="H1" s="51" t="s">
        <v>58</v>
      </c>
      <c r="I1" s="51" t="s">
        <v>57</v>
      </c>
      <c r="J1" s="51" t="s">
        <v>5</v>
      </c>
      <c r="K1" s="98" t="s">
        <v>143</v>
      </c>
      <c r="L1" s="52" t="s">
        <v>73</v>
      </c>
      <c r="M1" s="52" t="s">
        <v>71</v>
      </c>
      <c r="N1" s="53" t="s">
        <v>72</v>
      </c>
    </row>
    <row r="2" spans="1:14" x14ac:dyDescent="0.25">
      <c r="A2" s="82" t="s">
        <v>83</v>
      </c>
      <c r="B2" s="85" t="s">
        <v>96</v>
      </c>
      <c r="C2" s="82" t="s">
        <v>140</v>
      </c>
      <c r="D2" s="25" t="s">
        <v>7</v>
      </c>
      <c r="E2" s="6">
        <v>0.60518292679999997</v>
      </c>
      <c r="F2" s="6">
        <v>0.89824695119999998</v>
      </c>
      <c r="G2" s="6">
        <v>0.65191332410000002</v>
      </c>
      <c r="H2" s="6">
        <v>0.43489583329999998</v>
      </c>
      <c r="I2" s="6">
        <v>9.8591549299999998E-2</v>
      </c>
      <c r="J2" s="6">
        <v>0.68544860669999996</v>
      </c>
      <c r="K2" s="95">
        <f>SUM(E2,J2)/2</f>
        <v>0.64531576675000002</v>
      </c>
      <c r="L2" s="26">
        <f>G2*1/3+H2*1/3+I2*1/3</f>
        <v>0.39513356890000001</v>
      </c>
      <c r="M2" s="26">
        <f>STDEV(G2:I2)</f>
        <v>0.27879566867083339</v>
      </c>
      <c r="N2" s="12">
        <f>SUMPRODUCT(G2:I2,$D$14:$F$14)/SUM($D$14:$F$14)</f>
        <v>0.16006770057000003</v>
      </c>
    </row>
    <row r="3" spans="1:14" x14ac:dyDescent="0.25">
      <c r="A3" s="83"/>
      <c r="B3" s="81"/>
      <c r="C3" s="83"/>
      <c r="D3" s="25" t="s">
        <v>66</v>
      </c>
      <c r="E3" s="26">
        <v>0.82660060980000005</v>
      </c>
      <c r="F3" s="26">
        <v>0.97294207320000003</v>
      </c>
      <c r="G3" s="26">
        <v>1</v>
      </c>
      <c r="H3" s="26">
        <v>0</v>
      </c>
      <c r="I3" s="26">
        <v>0</v>
      </c>
      <c r="J3" s="26">
        <v>0.86995045729999998</v>
      </c>
      <c r="K3" s="95">
        <f>SUM(E3,J3)/2</f>
        <v>0.84827553355000007</v>
      </c>
      <c r="L3" s="26">
        <f t="shared" ref="L3:L4" si="0">G3*1/3+H3*1/3+I3*1/3</f>
        <v>0.33333333333333331</v>
      </c>
      <c r="M3" s="26">
        <f t="shared" ref="M3:M4" si="1">STDEV(G3:I3)</f>
        <v>0.57735026918962584</v>
      </c>
      <c r="N3" s="12">
        <f>SUMPRODUCT(G3:I3,$D$14:$F$14)/SUM($D$14:$F$14)</f>
        <v>2.5000000000000001E-2</v>
      </c>
    </row>
    <row r="4" spans="1:14" x14ac:dyDescent="0.25">
      <c r="A4" s="83"/>
      <c r="B4" s="81"/>
      <c r="C4" s="83"/>
      <c r="D4" s="25" t="s">
        <v>67</v>
      </c>
      <c r="E4" s="26">
        <v>0.61128048779999999</v>
      </c>
      <c r="F4" s="26">
        <v>0.85632621949999999</v>
      </c>
      <c r="G4" s="26">
        <v>0.67634854769999997</v>
      </c>
      <c r="H4" s="26">
        <v>0.29947916670000002</v>
      </c>
      <c r="I4" s="26">
        <v>0.30985915489999999</v>
      </c>
      <c r="J4" s="26">
        <v>0.50006826780000002</v>
      </c>
      <c r="K4" s="95">
        <f>SUM(E4,J4)/2</f>
        <v>0.55567437779999995</v>
      </c>
      <c r="L4" s="26">
        <f t="shared" si="0"/>
        <v>0.42856228976666666</v>
      </c>
      <c r="M4" s="26">
        <f t="shared" si="1"/>
        <v>0.21465194677479932</v>
      </c>
      <c r="N4" s="12">
        <f>SUMPRODUCT(G4:I4,$D$14:$F$14)/SUM($D$14:$F$14)</f>
        <v>0.31755089139166665</v>
      </c>
    </row>
    <row r="5" spans="1:14" x14ac:dyDescent="0.25">
      <c r="A5" s="83"/>
      <c r="B5" s="81"/>
      <c r="C5" s="25"/>
      <c r="D5" s="25"/>
      <c r="E5" s="26"/>
      <c r="F5" s="26"/>
      <c r="G5" s="26"/>
      <c r="H5" s="26"/>
      <c r="I5" s="26"/>
      <c r="J5" s="26"/>
      <c r="K5" s="97"/>
      <c r="L5" s="26"/>
      <c r="M5" s="26"/>
    </row>
    <row r="6" spans="1:14" x14ac:dyDescent="0.25">
      <c r="A6" s="83"/>
      <c r="B6" s="81"/>
      <c r="C6" s="84" t="s">
        <v>64</v>
      </c>
      <c r="D6" s="25" t="s">
        <v>8</v>
      </c>
      <c r="E6" s="6">
        <v>0.71532012199999995</v>
      </c>
      <c r="F6" s="6">
        <v>0.88452743899999997</v>
      </c>
      <c r="G6" s="6">
        <v>0.82664822500000001</v>
      </c>
      <c r="H6" s="6">
        <v>0.20572916669999999</v>
      </c>
      <c r="I6" s="6">
        <v>7.0422535199999997E-2</v>
      </c>
      <c r="J6" s="6">
        <v>0.73983099360000004</v>
      </c>
      <c r="K6" s="95">
        <f>SUM(E6,J6)/2</f>
        <v>0.72757555780000005</v>
      </c>
      <c r="L6" s="26">
        <f>G6*1/3+H6*1/3+I6*1/3</f>
        <v>0.36759997563333335</v>
      </c>
      <c r="M6" s="26">
        <f>STDEV(G6:I6)</f>
        <v>0.40326287030536323</v>
      </c>
      <c r="N6" s="12">
        <f>SUMPRODUCT(G6:I6,$D$14:$F$14)/SUM($D$14:$F$14)</f>
        <v>0.10849661690750001</v>
      </c>
    </row>
    <row r="7" spans="1:14" x14ac:dyDescent="0.25">
      <c r="A7" s="83"/>
      <c r="B7" s="81"/>
      <c r="C7" s="84"/>
      <c r="D7" s="25" t="s">
        <v>68</v>
      </c>
      <c r="E7" s="26">
        <v>0.62080792679999997</v>
      </c>
      <c r="F7" s="26">
        <v>0.87347560980000005</v>
      </c>
      <c r="G7" s="26">
        <v>0.67819271550000004</v>
      </c>
      <c r="H7" s="26">
        <v>0.3828125</v>
      </c>
      <c r="I7" s="26">
        <v>0.1549295775</v>
      </c>
      <c r="J7" s="26">
        <v>0.64483064459999995</v>
      </c>
      <c r="K7" s="95">
        <f>SUM(E7,J7)/2</f>
        <v>0.6328192856999999</v>
      </c>
      <c r="L7" s="26">
        <f t="shared" ref="L7:L8" si="2">G7*1/3+H7*1/3+I7*1/3</f>
        <v>0.40531159766666663</v>
      </c>
      <c r="M7" s="26">
        <f t="shared" ref="M7:M8" si="3">STDEV(G7:I7)</f>
        <v>0.26235612236855171</v>
      </c>
      <c r="N7" s="12">
        <f>SUMPRODUCT(G7:I7,$D$14:$F$14)/SUM($D$14:$F$14)</f>
        <v>0.20029456997083334</v>
      </c>
    </row>
    <row r="8" spans="1:14" x14ac:dyDescent="0.25">
      <c r="A8" s="83"/>
      <c r="B8" s="81"/>
      <c r="C8" s="84"/>
      <c r="D8" s="25" t="s">
        <v>69</v>
      </c>
      <c r="E8" s="26">
        <v>0.61242378050000001</v>
      </c>
      <c r="F8" s="26">
        <v>0.84984756100000003</v>
      </c>
      <c r="G8" s="26">
        <v>0.67127708620000004</v>
      </c>
      <c r="H8" s="26">
        <v>0.3203125</v>
      </c>
      <c r="I8" s="26">
        <v>0.39436619719999999</v>
      </c>
      <c r="J8" s="26">
        <v>0.63692361819999999</v>
      </c>
      <c r="K8" s="95">
        <f>SUM(E8,J8)/2</f>
        <v>0.62467369934999994</v>
      </c>
      <c r="L8" s="26">
        <f t="shared" si="2"/>
        <v>0.46198526113333338</v>
      </c>
      <c r="M8" s="26">
        <f t="shared" si="3"/>
        <v>0.18499537439365743</v>
      </c>
      <c r="N8" s="12">
        <f>SUMPRODUCT(G8:I8,$D$14:$F$14)/SUM($D$14:$F$14)</f>
        <v>0.39079802898833332</v>
      </c>
    </row>
    <row r="9" spans="1:14" x14ac:dyDescent="0.25">
      <c r="A9" s="83"/>
      <c r="B9" s="81"/>
      <c r="C9" s="25"/>
      <c r="D9" s="25"/>
      <c r="E9" s="26"/>
      <c r="F9" s="26"/>
      <c r="G9" s="26"/>
      <c r="H9" s="26"/>
      <c r="I9" s="26"/>
      <c r="J9" s="26"/>
      <c r="K9" s="97"/>
      <c r="L9" s="26"/>
      <c r="M9" s="26"/>
    </row>
    <row r="10" spans="1:14" x14ac:dyDescent="0.25">
      <c r="A10" s="83"/>
      <c r="B10" s="81"/>
      <c r="C10" s="81" t="s">
        <v>65</v>
      </c>
      <c r="D10" s="25" t="s">
        <v>9</v>
      </c>
      <c r="E10" s="6">
        <v>0.78048780490000003</v>
      </c>
      <c r="F10" s="6">
        <v>0.85670731710000003</v>
      </c>
      <c r="G10" s="6">
        <v>0.94006454589999999</v>
      </c>
      <c r="H10" s="6">
        <v>0</v>
      </c>
      <c r="I10" s="6">
        <v>0.1267605634</v>
      </c>
      <c r="J10" s="6">
        <v>0.50378384080000005</v>
      </c>
      <c r="K10" s="95">
        <f>SUM(E10,J10)/2</f>
        <v>0.64213582285000004</v>
      </c>
      <c r="L10" s="26">
        <f>G10*1/3+H10*1/3+I10*1/3</f>
        <v>0.35560836976666665</v>
      </c>
      <c r="M10" s="26">
        <f t="shared" ref="M10:M11" si="4">STDEV(G10:I10)</f>
        <v>0.51010668146346583</v>
      </c>
      <c r="N10" s="12">
        <f>SUMPRODUCT(G10:I10,$D$14:$F$14)/SUM($D$14:$F$14)</f>
        <v>0.12913541648083335</v>
      </c>
    </row>
    <row r="11" spans="1:14" x14ac:dyDescent="0.25">
      <c r="A11" s="83"/>
      <c r="B11" s="81"/>
      <c r="C11" s="81"/>
      <c r="D11" s="25" t="s">
        <v>70</v>
      </c>
      <c r="E11" s="26">
        <v>0.59413109760000005</v>
      </c>
      <c r="F11" s="26">
        <v>0.80640243899999997</v>
      </c>
      <c r="G11" s="26">
        <v>0.64545873669999998</v>
      </c>
      <c r="H11" s="26">
        <v>0.33854166670000002</v>
      </c>
      <c r="I11" s="26">
        <v>0.40845070420000001</v>
      </c>
      <c r="J11" s="26">
        <v>0.58133493790000001</v>
      </c>
      <c r="K11" s="95">
        <f>SUM(E11,J11)/2</f>
        <v>0.58773301774999998</v>
      </c>
      <c r="L11" s="26">
        <f t="shared" ref="L11" si="5">G11*1/3+H11*1/3+I11*1/3</f>
        <v>0.46415036919999997</v>
      </c>
      <c r="M11" s="26">
        <f t="shared" si="4"/>
        <v>0.16086131130629377</v>
      </c>
      <c r="N11" s="12">
        <f>SUMPRODUCT(G11:I11,$D$14:$F$14)/SUM($D$14:$F$14)</f>
        <v>0.40447212470000005</v>
      </c>
    </row>
    <row r="12" spans="1:14" x14ac:dyDescent="0.25">
      <c r="A12" s="27"/>
      <c r="B12" s="27"/>
      <c r="C12" s="25"/>
      <c r="D12" s="25"/>
      <c r="E12" s="26"/>
      <c r="F12" s="26"/>
      <c r="G12" s="26"/>
      <c r="H12" s="26"/>
      <c r="I12" s="26"/>
      <c r="J12" s="26"/>
      <c r="L12" s="26"/>
      <c r="M12" s="26"/>
    </row>
    <row r="13" spans="1:14" x14ac:dyDescent="0.25">
      <c r="A13" s="25"/>
      <c r="B13" s="25"/>
      <c r="C13" s="41" t="s">
        <v>93</v>
      </c>
      <c r="D13" s="42" t="s">
        <v>89</v>
      </c>
      <c r="E13" s="43" t="s">
        <v>90</v>
      </c>
      <c r="F13" s="43" t="s">
        <v>91</v>
      </c>
      <c r="G13" s="26"/>
      <c r="H13" s="26"/>
      <c r="I13" s="26"/>
      <c r="J13" s="26"/>
      <c r="K13" s="97"/>
      <c r="L13" s="26"/>
      <c r="M13" s="26"/>
    </row>
    <row r="14" spans="1:14" x14ac:dyDescent="0.25">
      <c r="A14" s="27"/>
      <c r="B14" s="27"/>
      <c r="C14" s="44" t="s">
        <v>92</v>
      </c>
      <c r="D14" s="45">
        <v>0.03</v>
      </c>
      <c r="E14" s="45">
        <v>0.17</v>
      </c>
      <c r="F14" s="45">
        <v>1</v>
      </c>
      <c r="G14" s="26"/>
      <c r="H14" s="26"/>
      <c r="I14" s="26"/>
      <c r="J14" s="26"/>
      <c r="K14" s="97"/>
      <c r="L14" s="26"/>
      <c r="M14" s="26"/>
    </row>
    <row r="15" spans="1:14" x14ac:dyDescent="0.25">
      <c r="A15" s="27"/>
      <c r="B15" s="27"/>
      <c r="C15" s="25"/>
      <c r="D15" s="25"/>
      <c r="E15" s="26"/>
      <c r="F15" s="26"/>
      <c r="G15" s="26"/>
      <c r="H15" s="26"/>
      <c r="I15" s="26"/>
      <c r="J15" s="26"/>
      <c r="K15" s="97"/>
      <c r="L15" s="26"/>
      <c r="M15" s="26"/>
    </row>
    <row r="16" spans="1:14" x14ac:dyDescent="0.25">
      <c r="A16" s="27"/>
      <c r="B16" s="27"/>
      <c r="C16" s="25"/>
      <c r="D16" s="25"/>
      <c r="E16" s="26"/>
      <c r="F16" s="26"/>
      <c r="G16" s="26"/>
      <c r="H16" s="26"/>
      <c r="I16" s="26"/>
      <c r="J16" s="26"/>
      <c r="K16" s="97"/>
      <c r="L16" s="26"/>
      <c r="M16" s="26"/>
    </row>
    <row r="17" spans="1:13" x14ac:dyDescent="0.25">
      <c r="A17" s="25"/>
      <c r="B17" s="25"/>
      <c r="C17" s="25"/>
      <c r="D17" s="25"/>
      <c r="E17" s="26"/>
      <c r="F17" s="26"/>
      <c r="G17" s="26"/>
      <c r="H17" s="26"/>
      <c r="I17" s="26"/>
      <c r="J17" s="26"/>
      <c r="K17" s="96"/>
      <c r="L17" s="26"/>
      <c r="M17" s="26"/>
    </row>
    <row r="18" spans="1:13" x14ac:dyDescent="0.25">
      <c r="A18" s="27"/>
      <c r="B18" s="27"/>
      <c r="C18" s="25"/>
      <c r="D18" s="25"/>
      <c r="E18" s="26"/>
      <c r="F18" s="26"/>
      <c r="G18" s="26"/>
      <c r="H18" s="26"/>
      <c r="I18" s="26"/>
      <c r="J18" s="26"/>
      <c r="K18" s="97"/>
      <c r="L18" s="26"/>
      <c r="M18" s="26"/>
    </row>
    <row r="19" spans="1:13" x14ac:dyDescent="0.25">
      <c r="A19" s="27"/>
      <c r="B19" s="27"/>
      <c r="C19" s="25"/>
      <c r="D19" s="25"/>
      <c r="E19" s="26"/>
      <c r="F19" s="26"/>
      <c r="G19" s="26"/>
      <c r="H19" s="26"/>
      <c r="I19" s="26"/>
      <c r="J19" s="26"/>
      <c r="K19" s="97"/>
      <c r="L19" s="26"/>
      <c r="M19" s="26"/>
    </row>
    <row r="20" spans="1:13" x14ac:dyDescent="0.25">
      <c r="A20" s="27"/>
      <c r="B20" s="27"/>
      <c r="C20" s="25"/>
      <c r="D20" s="25"/>
      <c r="E20" s="26"/>
      <c r="F20" s="26"/>
      <c r="G20" s="26"/>
      <c r="H20" s="26"/>
      <c r="I20" s="26"/>
      <c r="J20" s="26"/>
      <c r="K20" s="97"/>
      <c r="L20" s="26"/>
      <c r="M20" s="26"/>
    </row>
    <row r="21" spans="1:13" x14ac:dyDescent="0.25">
      <c r="A21" s="25"/>
      <c r="B21" s="25"/>
      <c r="C21" s="25"/>
      <c r="D21" s="25"/>
      <c r="E21" s="26"/>
      <c r="F21" s="26"/>
      <c r="G21" s="26"/>
      <c r="H21" s="26"/>
      <c r="I21" s="26"/>
      <c r="J21" s="26"/>
      <c r="K21" s="96"/>
      <c r="L21" s="26"/>
      <c r="M21" s="26"/>
    </row>
    <row r="22" spans="1:13" x14ac:dyDescent="0.25">
      <c r="A22" s="27"/>
      <c r="B22" s="27"/>
      <c r="C22" s="25"/>
      <c r="D22" s="25"/>
      <c r="E22" s="26"/>
      <c r="F22" s="26"/>
      <c r="G22" s="26"/>
      <c r="H22" s="26"/>
      <c r="I22" s="26"/>
      <c r="J22" s="26"/>
      <c r="K22" s="96"/>
      <c r="L22" s="26"/>
      <c r="M22" s="26"/>
    </row>
    <row r="23" spans="1:13" x14ac:dyDescent="0.25">
      <c r="A23" s="27"/>
      <c r="B23" s="27"/>
      <c r="C23" s="25"/>
      <c r="D23" s="25"/>
      <c r="E23" s="26"/>
      <c r="F23" s="26"/>
      <c r="G23" s="26"/>
      <c r="H23" s="26"/>
      <c r="I23" s="26"/>
      <c r="J23" s="26"/>
      <c r="K23" s="96"/>
      <c r="L23" s="26"/>
      <c r="M23" s="26"/>
    </row>
    <row r="24" spans="1:13" x14ac:dyDescent="0.25">
      <c r="A24" s="27"/>
      <c r="B24" s="27"/>
      <c r="C24" s="25"/>
      <c r="D24" s="25"/>
      <c r="E24" s="26"/>
      <c r="F24" s="26"/>
      <c r="G24" s="26"/>
      <c r="H24" s="26"/>
      <c r="I24" s="26"/>
      <c r="J24" s="26"/>
      <c r="K24" s="96"/>
      <c r="L24" s="26"/>
      <c r="M24" s="26"/>
    </row>
    <row r="25" spans="1:13" x14ac:dyDescent="0.25">
      <c r="A25" s="25"/>
      <c r="B25" s="25"/>
      <c r="C25" s="25"/>
      <c r="D25" s="25"/>
      <c r="E25" s="26"/>
      <c r="F25" s="26"/>
      <c r="G25" s="26"/>
      <c r="H25" s="26"/>
      <c r="I25" s="26"/>
      <c r="J25" s="26"/>
      <c r="K25" s="96"/>
      <c r="L25" s="26"/>
      <c r="M25" s="26"/>
    </row>
    <row r="26" spans="1:13" x14ac:dyDescent="0.25">
      <c r="A26" s="27"/>
      <c r="B26" s="27"/>
      <c r="C26" s="25"/>
      <c r="D26" s="25"/>
      <c r="E26" s="26"/>
      <c r="F26" s="26"/>
      <c r="G26" s="26"/>
      <c r="H26" s="26"/>
      <c r="I26" s="26"/>
      <c r="J26" s="26"/>
      <c r="K26" s="96"/>
      <c r="L26" s="26"/>
      <c r="M26" s="26"/>
    </row>
    <row r="27" spans="1:13" x14ac:dyDescent="0.25">
      <c r="A27" s="27"/>
      <c r="B27" s="27"/>
      <c r="C27" s="25"/>
      <c r="D27" s="25"/>
      <c r="E27" s="26"/>
      <c r="F27" s="26"/>
      <c r="G27" s="26"/>
      <c r="H27" s="26"/>
      <c r="I27" s="26"/>
      <c r="J27" s="26"/>
      <c r="K27" s="96"/>
      <c r="L27" s="26"/>
      <c r="M27" s="26"/>
    </row>
    <row r="28" spans="1:13" x14ac:dyDescent="0.25">
      <c r="A28" s="27"/>
      <c r="B28" s="27"/>
      <c r="C28" s="25"/>
      <c r="D28" s="25"/>
      <c r="E28" s="26"/>
      <c r="F28" s="26"/>
      <c r="G28" s="26"/>
      <c r="H28" s="26"/>
      <c r="I28" s="26"/>
      <c r="J28" s="26"/>
      <c r="K28" s="96"/>
      <c r="L28" s="26"/>
      <c r="M28" s="26"/>
    </row>
    <row r="29" spans="1:13" x14ac:dyDescent="0.25">
      <c r="A29" s="25"/>
      <c r="B29" s="25"/>
      <c r="C29" s="25"/>
      <c r="D29" s="25"/>
      <c r="E29" s="26"/>
      <c r="F29" s="26"/>
      <c r="G29" s="26"/>
      <c r="H29" s="26"/>
      <c r="I29" s="26"/>
      <c r="J29" s="26"/>
      <c r="K29" s="96"/>
      <c r="L29" s="26"/>
      <c r="M29" s="26"/>
    </row>
    <row r="30" spans="1:13" x14ac:dyDescent="0.25">
      <c r="A30" s="27"/>
      <c r="B30" s="27"/>
      <c r="C30" s="25"/>
      <c r="D30" s="25"/>
      <c r="E30" s="26"/>
      <c r="F30" s="26"/>
      <c r="G30" s="26"/>
      <c r="H30" s="26"/>
      <c r="I30" s="26"/>
      <c r="J30" s="26"/>
      <c r="K30" s="96"/>
      <c r="L30" s="26"/>
      <c r="M30" s="26"/>
    </row>
    <row r="31" spans="1:13" x14ac:dyDescent="0.25">
      <c r="A31" s="27"/>
      <c r="B31" s="27"/>
      <c r="C31" s="25"/>
      <c r="D31" s="25"/>
      <c r="E31" s="26"/>
      <c r="F31" s="26"/>
      <c r="G31" s="26"/>
      <c r="H31" s="26"/>
      <c r="I31" s="26"/>
      <c r="J31" s="26"/>
      <c r="K31" s="96"/>
      <c r="L31" s="26"/>
      <c r="M31" s="26"/>
    </row>
    <row r="32" spans="1:13" x14ac:dyDescent="0.25">
      <c r="A32" s="27"/>
      <c r="B32" s="27"/>
      <c r="C32" s="25"/>
      <c r="D32" s="25"/>
      <c r="E32" s="26"/>
      <c r="F32" s="26"/>
      <c r="G32" s="26"/>
      <c r="H32" s="26"/>
      <c r="I32" s="26"/>
      <c r="J32" s="26"/>
      <c r="K32" s="96"/>
      <c r="L32" s="26"/>
      <c r="M32" s="26"/>
    </row>
    <row r="33" spans="1:13" x14ac:dyDescent="0.25">
      <c r="A33" s="25"/>
      <c r="B33" s="25"/>
      <c r="C33" s="25"/>
      <c r="D33" s="25"/>
      <c r="E33" s="26"/>
      <c r="F33" s="26"/>
      <c r="G33" s="26"/>
      <c r="H33" s="26"/>
      <c r="I33" s="26"/>
      <c r="J33" s="26"/>
      <c r="K33" s="96"/>
      <c r="L33" s="26"/>
      <c r="M33" s="26"/>
    </row>
    <row r="34" spans="1:13" x14ac:dyDescent="0.25">
      <c r="A34" s="27"/>
      <c r="B34" s="27"/>
      <c r="C34" s="25"/>
      <c r="D34" s="25"/>
      <c r="E34" s="26"/>
      <c r="F34" s="26"/>
      <c r="G34" s="26"/>
      <c r="H34" s="26"/>
      <c r="I34" s="26"/>
      <c r="J34" s="26"/>
      <c r="K34" s="96"/>
      <c r="L34" s="26"/>
      <c r="M34" s="26"/>
    </row>
    <row r="35" spans="1:13" x14ac:dyDescent="0.25">
      <c r="A35" s="27"/>
      <c r="B35" s="27"/>
      <c r="C35" s="25"/>
      <c r="D35" s="25"/>
      <c r="E35" s="26"/>
      <c r="F35" s="26"/>
      <c r="G35" s="26"/>
      <c r="H35" s="26"/>
      <c r="I35" s="26"/>
      <c r="J35" s="26"/>
      <c r="K35" s="96"/>
      <c r="L35" s="26"/>
      <c r="M35" s="26"/>
    </row>
    <row r="36" spans="1:13" x14ac:dyDescent="0.25">
      <c r="A36" s="27"/>
      <c r="B36" s="27"/>
      <c r="C36" s="25"/>
      <c r="D36" s="25"/>
      <c r="E36" s="26"/>
      <c r="F36" s="26"/>
      <c r="G36" s="26"/>
      <c r="H36" s="26"/>
      <c r="I36" s="26"/>
      <c r="J36" s="26"/>
      <c r="K36" s="96"/>
      <c r="L36" s="26"/>
      <c r="M36" s="26"/>
    </row>
    <row r="37" spans="1:13" x14ac:dyDescent="0.25">
      <c r="A37" s="25"/>
      <c r="B37" s="25"/>
      <c r="C37" s="25"/>
      <c r="D37" s="25"/>
      <c r="E37" s="26"/>
      <c r="F37" s="26"/>
      <c r="G37" s="26"/>
      <c r="H37" s="26"/>
      <c r="I37" s="26"/>
      <c r="J37" s="26"/>
      <c r="K37" s="96"/>
      <c r="L37" s="26"/>
      <c r="M37" s="26"/>
    </row>
    <row r="38" spans="1:13" x14ac:dyDescent="0.25">
      <c r="A38" s="27"/>
      <c r="B38" s="27"/>
      <c r="C38" s="25"/>
      <c r="D38" s="25"/>
      <c r="E38" s="26"/>
      <c r="F38" s="26"/>
      <c r="G38" s="26"/>
      <c r="H38" s="26"/>
      <c r="I38" s="26"/>
      <c r="J38" s="26"/>
      <c r="K38" s="96"/>
      <c r="L38" s="26"/>
      <c r="M38" s="26"/>
    </row>
    <row r="39" spans="1:13" x14ac:dyDescent="0.25">
      <c r="A39" s="27"/>
      <c r="B39" s="27"/>
      <c r="C39" s="25"/>
      <c r="D39" s="25"/>
      <c r="E39" s="26"/>
      <c r="F39" s="26"/>
      <c r="G39" s="26"/>
      <c r="H39" s="26"/>
      <c r="I39" s="26"/>
      <c r="J39" s="26"/>
      <c r="K39" s="96"/>
      <c r="L39" s="26"/>
      <c r="M39" s="26"/>
    </row>
    <row r="40" spans="1:13" x14ac:dyDescent="0.25">
      <c r="A40" s="27"/>
      <c r="B40" s="27"/>
      <c r="C40" s="25"/>
      <c r="D40" s="25"/>
      <c r="E40" s="26"/>
      <c r="F40" s="26"/>
      <c r="G40" s="26"/>
      <c r="H40" s="26"/>
      <c r="I40" s="26"/>
      <c r="J40" s="26"/>
      <c r="K40" s="96"/>
      <c r="L40" s="26"/>
      <c r="M40" s="26"/>
    </row>
    <row r="41" spans="1:13" x14ac:dyDescent="0.25">
      <c r="A41" s="25"/>
      <c r="B41" s="25"/>
      <c r="C41" s="25"/>
      <c r="D41" s="25"/>
      <c r="E41" s="26"/>
      <c r="F41" s="26"/>
      <c r="G41" s="26"/>
      <c r="H41" s="26"/>
      <c r="I41" s="26"/>
      <c r="J41" s="26"/>
      <c r="K41" s="96"/>
      <c r="L41" s="26"/>
      <c r="M41" s="26"/>
    </row>
    <row r="42" spans="1:13" x14ac:dyDescent="0.25">
      <c r="A42" s="27"/>
      <c r="B42" s="27"/>
      <c r="C42" s="25"/>
      <c r="D42" s="25"/>
      <c r="E42" s="26"/>
      <c r="F42" s="26"/>
      <c r="G42" s="26"/>
      <c r="H42" s="26"/>
      <c r="I42" s="26"/>
      <c r="J42" s="26"/>
      <c r="K42" s="96"/>
      <c r="L42" s="26"/>
      <c r="M42" s="26"/>
    </row>
    <row r="43" spans="1:13" x14ac:dyDescent="0.25">
      <c r="A43" s="27"/>
      <c r="B43" s="27"/>
      <c r="C43" s="25"/>
      <c r="D43" s="25"/>
      <c r="E43" s="26"/>
      <c r="F43" s="26"/>
      <c r="G43" s="26"/>
      <c r="H43" s="26"/>
      <c r="I43" s="26"/>
      <c r="J43" s="26"/>
      <c r="K43" s="96"/>
      <c r="L43" s="26"/>
      <c r="M43" s="26"/>
    </row>
    <row r="44" spans="1:13" x14ac:dyDescent="0.25">
      <c r="A44" s="27"/>
      <c r="B44" s="27"/>
      <c r="C44" s="25"/>
      <c r="D44" s="25"/>
      <c r="E44" s="26"/>
      <c r="F44" s="26"/>
      <c r="G44" s="26"/>
      <c r="H44" s="26"/>
      <c r="I44" s="26"/>
      <c r="J44" s="26"/>
      <c r="K44" s="96"/>
      <c r="L44" s="26"/>
      <c r="M44" s="26"/>
    </row>
    <row r="45" spans="1:13" x14ac:dyDescent="0.25">
      <c r="A45" s="25"/>
      <c r="B45" s="25"/>
      <c r="C45" s="25"/>
      <c r="D45" s="25"/>
      <c r="E45" s="26"/>
      <c r="F45" s="26"/>
      <c r="G45" s="26"/>
      <c r="H45" s="26"/>
      <c r="I45" s="26"/>
      <c r="J45" s="26"/>
      <c r="K45" s="96"/>
      <c r="L45" s="26"/>
      <c r="M45" s="26"/>
    </row>
    <row r="46" spans="1:13" x14ac:dyDescent="0.25">
      <c r="A46" s="27"/>
      <c r="B46" s="27"/>
      <c r="C46" s="25"/>
      <c r="D46" s="25"/>
      <c r="E46" s="26"/>
      <c r="F46" s="26"/>
      <c r="G46" s="26"/>
      <c r="H46" s="26"/>
      <c r="I46" s="26"/>
      <c r="J46" s="26"/>
      <c r="K46" s="96"/>
      <c r="L46" s="26"/>
      <c r="M46" s="26"/>
    </row>
    <row r="47" spans="1:13" x14ac:dyDescent="0.25">
      <c r="A47" s="27"/>
      <c r="B47" s="27"/>
      <c r="C47" s="25"/>
      <c r="D47" s="25"/>
      <c r="E47" s="26"/>
      <c r="F47" s="26"/>
      <c r="G47" s="26"/>
      <c r="H47" s="26"/>
      <c r="I47" s="26"/>
      <c r="J47" s="26"/>
      <c r="K47" s="96"/>
      <c r="L47" s="26"/>
      <c r="M47" s="26"/>
    </row>
    <row r="48" spans="1:13" x14ac:dyDescent="0.25">
      <c r="A48" s="27"/>
      <c r="B48" s="27"/>
      <c r="C48" s="25"/>
      <c r="D48" s="25"/>
      <c r="E48" s="26"/>
      <c r="F48" s="26"/>
      <c r="G48" s="26"/>
      <c r="H48" s="26"/>
      <c r="I48" s="26"/>
      <c r="J48" s="26"/>
      <c r="K48" s="96"/>
      <c r="L48" s="26"/>
      <c r="M48" s="26"/>
    </row>
    <row r="49" spans="1:13" x14ac:dyDescent="0.25">
      <c r="A49" s="25"/>
      <c r="B49" s="25"/>
      <c r="C49" s="25"/>
      <c r="D49" s="25"/>
      <c r="E49" s="26"/>
      <c r="F49" s="26"/>
      <c r="G49" s="26"/>
      <c r="H49" s="26"/>
      <c r="I49" s="26"/>
      <c r="J49" s="26"/>
      <c r="L49" s="26"/>
      <c r="M49" s="26"/>
    </row>
    <row r="50" spans="1:13" x14ac:dyDescent="0.25">
      <c r="A50" s="25"/>
      <c r="B50" s="25"/>
      <c r="C50" s="25"/>
      <c r="D50" s="25"/>
      <c r="E50" s="26"/>
      <c r="F50" s="26"/>
      <c r="G50" s="26"/>
      <c r="H50" s="26"/>
      <c r="I50" s="26"/>
      <c r="J50" s="26"/>
      <c r="L50" s="26"/>
      <c r="M50" s="26"/>
    </row>
    <row r="51" spans="1:13" x14ac:dyDescent="0.25">
      <c r="A51" s="25"/>
      <c r="B51" s="25"/>
      <c r="C51" s="25"/>
      <c r="D51" s="25"/>
      <c r="E51" s="26"/>
      <c r="F51" s="26"/>
      <c r="G51" s="26"/>
      <c r="H51" s="26"/>
      <c r="I51" s="26"/>
      <c r="J51" s="26"/>
      <c r="L51" s="26"/>
      <c r="M51" s="26"/>
    </row>
    <row r="52" spans="1:13" x14ac:dyDescent="0.25">
      <c r="A52" s="25"/>
      <c r="B52" s="25"/>
      <c r="C52" s="25"/>
      <c r="D52" s="25"/>
      <c r="E52" s="26"/>
      <c r="F52" s="26"/>
      <c r="G52" s="26"/>
      <c r="H52" s="26"/>
      <c r="I52" s="26"/>
      <c r="J52" s="26"/>
      <c r="L52" s="26"/>
      <c r="M52" s="26"/>
    </row>
  </sheetData>
  <mergeCells count="5">
    <mergeCell ref="C10:C11"/>
    <mergeCell ref="A2:A11"/>
    <mergeCell ref="C2:C4"/>
    <mergeCell ref="C6:C8"/>
    <mergeCell ref="B2:B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3266-9124-624A-BC0F-EF159BDF8541}">
  <dimension ref="A1:D15"/>
  <sheetViews>
    <sheetView workbookViewId="0">
      <selection activeCell="C15" sqref="C15"/>
    </sheetView>
  </sheetViews>
  <sheetFormatPr baseColWidth="10" defaultColWidth="65.33203125" defaultRowHeight="21" x14ac:dyDescent="0.2"/>
  <cols>
    <col min="1" max="1" width="45" style="71" customWidth="1"/>
    <col min="2" max="2" width="61.1640625" style="71" bestFit="1" customWidth="1"/>
    <col min="3" max="3" width="53" style="71" bestFit="1" customWidth="1"/>
    <col min="4" max="4" width="13.5" style="72" bestFit="1" customWidth="1"/>
    <col min="5" max="16384" width="65.33203125" style="73"/>
  </cols>
  <sheetData>
    <row r="1" spans="1:4" s="70" customFormat="1" ht="25" x14ac:dyDescent="0.2">
      <c r="A1" s="68" t="s">
        <v>107</v>
      </c>
      <c r="B1" s="68" t="s">
        <v>108</v>
      </c>
      <c r="C1" s="68" t="s">
        <v>102</v>
      </c>
      <c r="D1" s="69" t="s">
        <v>101</v>
      </c>
    </row>
    <row r="2" spans="1:4" ht="44" x14ac:dyDescent="0.2">
      <c r="A2" s="71" t="s">
        <v>123</v>
      </c>
      <c r="B2" s="71" t="s">
        <v>115</v>
      </c>
      <c r="C2" s="71" t="s">
        <v>106</v>
      </c>
      <c r="D2" s="72">
        <v>0.68325173248234505</v>
      </c>
    </row>
    <row r="3" spans="1:4" ht="44" x14ac:dyDescent="0.2">
      <c r="A3" s="71" t="s">
        <v>123</v>
      </c>
      <c r="B3" s="71" t="s">
        <v>118</v>
      </c>
      <c r="C3" s="71" t="s">
        <v>106</v>
      </c>
      <c r="D3" s="72">
        <v>0.68325173248234505</v>
      </c>
    </row>
    <row r="4" spans="1:4" ht="44" x14ac:dyDescent="0.2">
      <c r="A4" s="71" t="s">
        <v>123</v>
      </c>
      <c r="B4" s="71" t="s">
        <v>122</v>
      </c>
      <c r="C4" s="71" t="s">
        <v>106</v>
      </c>
      <c r="D4" s="72">
        <v>0.68325173248234505</v>
      </c>
    </row>
    <row r="5" spans="1:4" ht="44" x14ac:dyDescent="0.2">
      <c r="A5" s="71" t="s">
        <v>123</v>
      </c>
      <c r="B5" s="71" t="s">
        <v>117</v>
      </c>
      <c r="C5" s="71" t="s">
        <v>106</v>
      </c>
      <c r="D5" s="72">
        <v>0.68041836283516299</v>
      </c>
    </row>
    <row r="6" spans="1:4" ht="44" x14ac:dyDescent="0.2">
      <c r="A6" s="71" t="s">
        <v>123</v>
      </c>
      <c r="B6" s="71" t="s">
        <v>121</v>
      </c>
      <c r="C6" s="71" t="s">
        <v>106</v>
      </c>
      <c r="D6" s="72">
        <v>0.67742712096802804</v>
      </c>
    </row>
    <row r="7" spans="1:4" ht="44" x14ac:dyDescent="0.2">
      <c r="A7" s="71" t="s">
        <v>123</v>
      </c>
      <c r="B7" s="71" t="s">
        <v>116</v>
      </c>
      <c r="C7" s="71" t="s">
        <v>106</v>
      </c>
      <c r="D7" s="72">
        <v>0.65343720964277696</v>
      </c>
    </row>
    <row r="8" spans="1:4" ht="44" x14ac:dyDescent="0.2">
      <c r="A8" s="71" t="s">
        <v>126</v>
      </c>
      <c r="B8" s="71" t="s">
        <v>127</v>
      </c>
      <c r="D8" s="72">
        <v>0.64949999999999997</v>
      </c>
    </row>
    <row r="9" spans="1:4" ht="44" x14ac:dyDescent="0.2">
      <c r="A9" s="71" t="s">
        <v>123</v>
      </c>
      <c r="B9" s="71" t="s">
        <v>120</v>
      </c>
      <c r="C9" s="71" t="s">
        <v>106</v>
      </c>
      <c r="D9" s="72">
        <v>0.64262720538739304</v>
      </c>
    </row>
    <row r="10" spans="1:4" ht="44" x14ac:dyDescent="0.2">
      <c r="A10" s="71" t="s">
        <v>123</v>
      </c>
      <c r="B10" s="71" t="s">
        <v>125</v>
      </c>
      <c r="C10" s="71" t="s">
        <v>124</v>
      </c>
      <c r="D10" s="72">
        <v>0.63939999999999997</v>
      </c>
    </row>
    <row r="11" spans="1:4" ht="22" x14ac:dyDescent="0.2">
      <c r="A11" s="71" t="s">
        <v>109</v>
      </c>
      <c r="B11" s="71" t="s">
        <v>103</v>
      </c>
      <c r="D11" s="72">
        <v>0.60415152730396504</v>
      </c>
    </row>
    <row r="12" spans="1:4" ht="22" x14ac:dyDescent="0.2">
      <c r="A12" s="71" t="s">
        <v>109</v>
      </c>
      <c r="B12" s="74" t="s">
        <v>104</v>
      </c>
      <c r="D12" s="72">
        <v>0.603348181891603</v>
      </c>
    </row>
    <row r="13" spans="1:4" ht="44" x14ac:dyDescent="0.2">
      <c r="A13" s="71" t="s">
        <v>110</v>
      </c>
      <c r="B13" s="71" t="s">
        <v>111</v>
      </c>
      <c r="D13" s="72">
        <v>0.57569693797857102</v>
      </c>
    </row>
    <row r="14" spans="1:4" ht="44" x14ac:dyDescent="0.2">
      <c r="A14" s="71" t="s">
        <v>123</v>
      </c>
      <c r="B14" s="71" t="s">
        <v>119</v>
      </c>
      <c r="C14" s="71" t="s">
        <v>106</v>
      </c>
      <c r="D14" s="72">
        <v>0.57370283757216001</v>
      </c>
    </row>
    <row r="15" spans="1:4" ht="44" x14ac:dyDescent="0.2">
      <c r="A15" s="71" t="s">
        <v>110</v>
      </c>
      <c r="B15" s="71" t="s">
        <v>113</v>
      </c>
      <c r="D15" s="72">
        <v>0.51741735167898695</v>
      </c>
    </row>
  </sheetData>
  <sortState xmlns:xlrd2="http://schemas.microsoft.com/office/spreadsheetml/2017/richdata2" ref="A2:D15">
    <sortCondition descending="1" ref="D1:D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00BD-B64F-384F-8AA4-A9588C0E9EEE}">
  <dimension ref="A1:D15"/>
  <sheetViews>
    <sheetView workbookViewId="0">
      <selection activeCell="B5" sqref="B5"/>
    </sheetView>
  </sheetViews>
  <sheetFormatPr baseColWidth="10" defaultColWidth="65.33203125" defaultRowHeight="21" x14ac:dyDescent="0.2"/>
  <cols>
    <col min="1" max="3" width="65.33203125" style="71"/>
    <col min="4" max="4" width="65.33203125" style="72"/>
    <col min="5" max="16384" width="65.33203125" style="73"/>
  </cols>
  <sheetData>
    <row r="1" spans="1:4" s="70" customFormat="1" ht="25" x14ac:dyDescent="0.2">
      <c r="A1" s="68" t="s">
        <v>107</v>
      </c>
      <c r="B1" s="68" t="s">
        <v>108</v>
      </c>
      <c r="C1" s="68" t="s">
        <v>102</v>
      </c>
      <c r="D1" s="69" t="s">
        <v>101</v>
      </c>
    </row>
    <row r="2" spans="1:4" ht="44" x14ac:dyDescent="0.2">
      <c r="A2" s="71" t="s">
        <v>123</v>
      </c>
      <c r="B2" s="71" t="s">
        <v>136</v>
      </c>
      <c r="C2" s="71" t="s">
        <v>138</v>
      </c>
      <c r="D2" s="72">
        <v>0.73470000000000002</v>
      </c>
    </row>
    <row r="3" spans="1:4" ht="44" x14ac:dyDescent="0.2">
      <c r="A3" s="71" t="s">
        <v>126</v>
      </c>
      <c r="B3" s="71" t="s">
        <v>137</v>
      </c>
      <c r="D3" s="72">
        <v>0.7097</v>
      </c>
    </row>
    <row r="4" spans="1:4" ht="22" x14ac:dyDescent="0.2">
      <c r="A4" s="71" t="s">
        <v>109</v>
      </c>
      <c r="B4" s="71" t="s">
        <v>105</v>
      </c>
      <c r="D4" s="72">
        <v>0.69406628387897396</v>
      </c>
    </row>
    <row r="5" spans="1:4" ht="44" x14ac:dyDescent="0.2">
      <c r="A5" s="71" t="s">
        <v>123</v>
      </c>
      <c r="B5" s="71" t="s">
        <v>130</v>
      </c>
      <c r="C5" s="71" t="s">
        <v>139</v>
      </c>
      <c r="D5" s="72">
        <v>0.665770082977021</v>
      </c>
    </row>
    <row r="6" spans="1:4" ht="44" x14ac:dyDescent="0.2">
      <c r="A6" s="71" t="s">
        <v>123</v>
      </c>
      <c r="B6" s="71" t="s">
        <v>131</v>
      </c>
      <c r="C6" s="71" t="s">
        <v>139</v>
      </c>
      <c r="D6" s="72">
        <v>0.65203403508906599</v>
      </c>
    </row>
    <row r="7" spans="1:4" ht="44" x14ac:dyDescent="0.2">
      <c r="A7" s="71" t="s">
        <v>123</v>
      </c>
      <c r="B7" s="71" t="s">
        <v>132</v>
      </c>
      <c r="C7" s="71" t="s">
        <v>139</v>
      </c>
      <c r="D7" s="72">
        <v>0.60864643260521401</v>
      </c>
    </row>
    <row r="8" spans="1:4" ht="22" x14ac:dyDescent="0.2">
      <c r="A8" s="71" t="s">
        <v>109</v>
      </c>
      <c r="B8" s="71" t="s">
        <v>103</v>
      </c>
      <c r="D8" s="72">
        <v>0.60415152730396504</v>
      </c>
    </row>
    <row r="9" spans="1:4" ht="44" x14ac:dyDescent="0.2">
      <c r="A9" s="71" t="s">
        <v>110</v>
      </c>
      <c r="B9" s="71" t="s">
        <v>112</v>
      </c>
      <c r="D9" s="72">
        <v>0.59785011377850095</v>
      </c>
    </row>
    <row r="10" spans="1:4" ht="44" x14ac:dyDescent="0.2">
      <c r="A10" s="71" t="s">
        <v>123</v>
      </c>
      <c r="B10" s="71" t="s">
        <v>129</v>
      </c>
      <c r="C10" s="71" t="s">
        <v>139</v>
      </c>
      <c r="D10" s="72">
        <v>0.58596491228070102</v>
      </c>
    </row>
    <row r="11" spans="1:4" ht="44" x14ac:dyDescent="0.2">
      <c r="A11" s="71" t="s">
        <v>123</v>
      </c>
      <c r="B11" s="71" t="s">
        <v>135</v>
      </c>
      <c r="C11" s="71" t="s">
        <v>139</v>
      </c>
      <c r="D11" s="72">
        <v>0.58596491228070102</v>
      </c>
    </row>
    <row r="12" spans="1:4" ht="44" x14ac:dyDescent="0.2">
      <c r="A12" s="71" t="s">
        <v>123</v>
      </c>
      <c r="B12" s="71" t="s">
        <v>128</v>
      </c>
      <c r="C12" s="71" t="s">
        <v>139</v>
      </c>
      <c r="D12" s="72">
        <v>0.57994647302866398</v>
      </c>
    </row>
    <row r="13" spans="1:4" ht="44" x14ac:dyDescent="0.2">
      <c r="A13" s="71" t="s">
        <v>123</v>
      </c>
      <c r="B13" s="71" t="s">
        <v>134</v>
      </c>
      <c r="C13" s="71" t="s">
        <v>139</v>
      </c>
      <c r="D13" s="72">
        <v>0.579743455999432</v>
      </c>
    </row>
    <row r="14" spans="1:4" ht="44" x14ac:dyDescent="0.2">
      <c r="A14" s="71" t="s">
        <v>123</v>
      </c>
      <c r="B14" s="71" t="s">
        <v>133</v>
      </c>
      <c r="C14" s="71" t="s">
        <v>139</v>
      </c>
      <c r="D14" s="72">
        <v>0.57884998520905395</v>
      </c>
    </row>
    <row r="15" spans="1:4" ht="44" x14ac:dyDescent="0.2">
      <c r="A15" s="71" t="s">
        <v>110</v>
      </c>
      <c r="B15" s="71" t="s">
        <v>114</v>
      </c>
      <c r="D15" s="72">
        <v>0.54874577477317199</v>
      </c>
    </row>
  </sheetData>
  <sortState xmlns:xlrd2="http://schemas.microsoft.com/office/spreadsheetml/2017/richdata2" ref="A2:D18">
    <sortCondition descending="1" ref="D1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basic</vt:lpstr>
      <vt:lpstr>special</vt:lpstr>
      <vt:lpstr>pretrained</vt:lpstr>
      <vt:lpstr>pretrained - average</vt:lpstr>
      <vt:lpstr>checking bias</vt:lpstr>
      <vt:lpstr>checking noise</vt:lpstr>
      <vt:lpstr>family of models</vt:lpstr>
      <vt:lpstr>Meta-Learner Roberta</vt:lpstr>
      <vt:lpstr>Meta-Learner Deberta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Dore</cp:lastModifiedBy>
  <dcterms:created xsi:type="dcterms:W3CDTF">2024-02-16T09:07:14Z</dcterms:created>
  <dcterms:modified xsi:type="dcterms:W3CDTF">2024-03-20T11:01:02Z</dcterms:modified>
</cp:coreProperties>
</file>