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output/"/>
    </mc:Choice>
  </mc:AlternateContent>
  <xr:revisionPtr revIDLastSave="0" documentId="13_ncr:1_{1115E30E-BC6C-0740-A455-6FACFDE9769B}" xr6:coauthVersionLast="47" xr6:coauthVersionMax="47" xr10:uidLastSave="{00000000-0000-0000-0000-000000000000}"/>
  <bookViews>
    <workbookView xWindow="0" yWindow="0" windowWidth="51200" windowHeight="28800" activeTab="1" xr2:uid="{00000000-000D-0000-FFFF-FFFF00000000}"/>
  </bookViews>
  <sheets>
    <sheet name="basic" sheetId="1" r:id="rId1"/>
    <sheet name="special" sheetId="2" r:id="rId2"/>
    <sheet name="pretraine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2" l="1"/>
  <c r="J52" i="4" l="1"/>
  <c r="I52" i="4"/>
  <c r="H52" i="4"/>
  <c r="G52" i="4"/>
  <c r="F52" i="4"/>
  <c r="J51" i="4"/>
  <c r="I51" i="4"/>
  <c r="H51" i="4"/>
  <c r="G51" i="4"/>
  <c r="F51" i="4"/>
  <c r="J52" i="2"/>
  <c r="I52" i="2"/>
  <c r="H52" i="2"/>
  <c r="G52" i="2"/>
  <c r="F52" i="2"/>
  <c r="I51" i="2"/>
  <c r="H51" i="2"/>
  <c r="G51" i="2"/>
  <c r="F51" i="2"/>
  <c r="I51" i="1"/>
  <c r="J52" i="1"/>
  <c r="I52" i="1"/>
  <c r="H52" i="1"/>
  <c r="G52" i="1"/>
  <c r="F52" i="1"/>
  <c r="J51" i="1"/>
  <c r="H51" i="1"/>
  <c r="G51" i="1"/>
  <c r="F51" i="1"/>
</calcChain>
</file>

<file path=xl/sharedStrings.xml><?xml version="1.0" encoding="utf-8"?>
<sst xmlns="http://schemas.openxmlformats.org/spreadsheetml/2006/main" count="333" uniqueCount="55">
  <si>
    <t>Model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</si>
  <si>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</si>
  <si>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</si>
  <si>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</si>
  <si>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</si>
  <si>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</si>
  <si>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basic/text+type-speaker</t>
  </si>
  <si>
    <t>TransE</t>
  </si>
  <si>
    <t>DistMult</t>
  </si>
  <si>
    <t>ConvE</t>
  </si>
  <si>
    <t>basic/text-claim+premise</t>
  </si>
  <si>
    <t>basic/text-claim+premise-speaker-year</t>
  </si>
  <si>
    <t>basic/text-claim-speaker</t>
  </si>
  <si>
    <t>basic/text-speaker</t>
  </si>
  <si>
    <t>basic/text-claim-year</t>
  </si>
  <si>
    <t>basic/text-speaker-year</t>
  </si>
  <si>
    <t>basic/text+type-speaker-year</t>
  </si>
  <si>
    <t>basic/text</t>
  </si>
  <si>
    <t>basic/text-year</t>
  </si>
  <si>
    <t>basic/text+type</t>
  </si>
  <si>
    <t>basic/text+type-year</t>
  </si>
  <si>
    <t>Experiment: basic training on all nodes in the graph</t>
  </si>
  <si>
    <t>Model Type</t>
  </si>
  <si>
    <t>Transactional</t>
  </si>
  <si>
    <t>Semantic Matching</t>
  </si>
  <si>
    <t>Other</t>
  </si>
  <si>
    <t>Nodes Composition</t>
  </si>
  <si>
    <t>Relation Composition</t>
  </si>
  <si>
    <t>only text</t>
  </si>
  <si>
    <t>Support, Attack, Equivalent</t>
  </si>
  <si>
    <t>Support, Attack, Equivalent, year</t>
  </si>
  <si>
    <t>Support, Attack, Equivalent, says</t>
  </si>
  <si>
    <t>Support, Attack, Equivalent, type</t>
  </si>
  <si>
    <t>Support, Attack, Equivalent, type, year</t>
  </si>
  <si>
    <t>Support, Attack, Equivalent, type, says</t>
  </si>
  <si>
    <t>Support, Attack, Equivalent, says, year</t>
  </si>
  <si>
    <t>Support, Attack, Equivalent, type, says, year</t>
  </si>
  <si>
    <t xml:space="preserve"> </t>
  </si>
  <si>
    <t>MEAN =</t>
  </si>
  <si>
    <t>MAX =</t>
  </si>
  <si>
    <t>special/text</t>
  </si>
  <si>
    <t>special/text-year</t>
  </si>
  <si>
    <t>special/text-speaker</t>
  </si>
  <si>
    <t>special/text-claim+premise</t>
  </si>
  <si>
    <t>special/text-speaker-year</t>
  </si>
  <si>
    <t>special/text-claim+premise-speaker-year</t>
  </si>
  <si>
    <t>special/text+type</t>
  </si>
  <si>
    <t>special/text+type-year</t>
  </si>
  <si>
    <t>special/text+type-speaker</t>
  </si>
  <si>
    <t>special/text+type-speaker-year</t>
  </si>
  <si>
    <t>Experiment: training on all nodes in the graph but evaluation only on relevant nodes</t>
  </si>
  <si>
    <r>
      <rPr>
        <i/>
        <sz val="14"/>
        <color theme="1"/>
        <rFont val="Calibri (Corpo)"/>
      </rPr>
      <t xml:space="preserve">text + type </t>
    </r>
    <r>
      <rPr>
        <sz val="14"/>
        <color theme="1"/>
        <rFont val="Calibri (Corpo)"/>
      </rPr>
      <t>(claim/premise)</t>
    </r>
  </si>
  <si>
    <t>special/text-claim+premise-speaker</t>
  </si>
  <si>
    <t>special/text-claim+premise-year</t>
  </si>
  <si>
    <t>Experiment: training on all nodes in the graph but evaluation only on relevant nodes with pretrained embeddings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</si>
</sst>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b/>
      <sz val="16"/>
      <name val="Calibri (Corpo)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Corpo)"/>
    </font>
    <font>
      <i/>
      <sz val="14"/>
      <color theme="1"/>
      <name val="Calibri (Corpo)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 wrapText="1"/>
    </xf>
    <xf numFmtId="164" fontId="4" fillId="0" borderId="0" xfId="0" applyNumberFormat="1" applyFont="1" applyFill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workbookViewId="0">
      <pane ySplit="1" topLeftCell="A2" activePane="bottomLeft" state="frozen"/>
      <selection pane="bottomLeft" sqref="A1:XFD1048576"/>
    </sheetView>
  </sheetViews>
  <sheetFormatPr baseColWidth="10" defaultColWidth="8.83203125" defaultRowHeight="19" x14ac:dyDescent="0.2"/>
  <cols>
    <col min="1" max="1" width="44.83203125" style="5" bestFit="1" customWidth="1"/>
    <col min="2" max="2" width="33.83203125" style="5" customWidth="1"/>
    <col min="3" max="3" width="50.1640625" style="5" bestFit="1" customWidth="1"/>
    <col min="4" max="4" width="26.6640625" style="5" customWidth="1"/>
    <col min="5" max="5" width="17.6640625" style="5" customWidth="1"/>
    <col min="6" max="6" width="32.83203125" style="12" bestFit="1" customWidth="1"/>
    <col min="7" max="7" width="30.33203125" style="12" bestFit="1" customWidth="1"/>
    <col min="8" max="8" width="36.5" style="12" bestFit="1" customWidth="1"/>
    <col min="9" max="9" width="39" style="12" bestFit="1" customWidth="1"/>
    <col min="10" max="10" width="42.5" style="12" bestFit="1" customWidth="1"/>
    <col min="11" max="16384" width="8.83203125" style="5"/>
  </cols>
  <sheetData>
    <row r="1" spans="1:10" s="3" customFormat="1" ht="45" thickBot="1" x14ac:dyDescent="0.25">
      <c r="A1" s="1" t="s">
        <v>21</v>
      </c>
      <c r="B1" s="1" t="s">
        <v>26</v>
      </c>
      <c r="C1" s="1" t="s">
        <v>27</v>
      </c>
      <c r="D1" s="1" t="s">
        <v>22</v>
      </c>
      <c r="E1" s="1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</row>
    <row r="2" spans="1:10" ht="20" x14ac:dyDescent="0.2">
      <c r="A2" s="18" t="s">
        <v>17</v>
      </c>
      <c r="B2" s="19" t="s">
        <v>28</v>
      </c>
      <c r="C2" s="16" t="s">
        <v>29</v>
      </c>
      <c r="D2" s="5" t="s">
        <v>23</v>
      </c>
      <c r="E2" s="4" t="s">
        <v>7</v>
      </c>
      <c r="F2" s="6">
        <v>9.58015267E-2</v>
      </c>
      <c r="G2" s="6">
        <v>4.0076336000000002E-3</v>
      </c>
      <c r="H2" s="6">
        <v>0.35202135769999998</v>
      </c>
      <c r="I2" s="6">
        <v>0.48963928680000002</v>
      </c>
      <c r="J2" s="6">
        <v>0.49997623749999998</v>
      </c>
    </row>
    <row r="3" spans="1:10" ht="20" x14ac:dyDescent="0.2">
      <c r="A3" s="18"/>
      <c r="B3" s="19"/>
      <c r="C3" s="17"/>
      <c r="D3" s="5" t="s">
        <v>24</v>
      </c>
      <c r="E3" s="4" t="s">
        <v>8</v>
      </c>
      <c r="F3" s="6">
        <v>5.6297709899999999E-2</v>
      </c>
      <c r="G3" s="6">
        <v>5.5343511999999999E-3</v>
      </c>
      <c r="H3" s="6">
        <v>0.3169336384</v>
      </c>
      <c r="I3" s="6">
        <v>0.49448559489999999</v>
      </c>
      <c r="J3" s="6">
        <v>0.4774642597</v>
      </c>
    </row>
    <row r="4" spans="1:10" ht="20" x14ac:dyDescent="0.2">
      <c r="A4" s="18"/>
      <c r="B4" s="19"/>
      <c r="C4" s="17"/>
      <c r="D4" s="5" t="s">
        <v>25</v>
      </c>
      <c r="E4" s="4" t="s">
        <v>9</v>
      </c>
      <c r="F4" s="6">
        <v>8.2061068999999993E-3</v>
      </c>
      <c r="G4" s="6">
        <v>1.3358777999999999E-3</v>
      </c>
      <c r="H4" s="6">
        <v>0.26735316549999999</v>
      </c>
      <c r="I4" s="6">
        <v>0.32726961269999999</v>
      </c>
      <c r="J4" s="6">
        <v>0.4594811352</v>
      </c>
    </row>
    <row r="5" spans="1:10" x14ac:dyDescent="0.2">
      <c r="A5" s="4"/>
      <c r="B5" s="19"/>
      <c r="C5" s="7"/>
      <c r="E5" s="4"/>
      <c r="F5" s="6"/>
      <c r="G5" s="6"/>
      <c r="H5" s="6"/>
      <c r="I5" s="6"/>
      <c r="J5" s="6"/>
    </row>
    <row r="6" spans="1:10" ht="20" x14ac:dyDescent="0.2">
      <c r="A6" s="18" t="s">
        <v>18</v>
      </c>
      <c r="B6" s="19"/>
      <c r="C6" s="16" t="s">
        <v>30</v>
      </c>
      <c r="D6" s="5" t="s">
        <v>23</v>
      </c>
      <c r="E6" s="4" t="s">
        <v>7</v>
      </c>
      <c r="F6" s="6">
        <v>0.2680256365</v>
      </c>
      <c r="G6" s="6">
        <v>1.5310664099999999E-2</v>
      </c>
      <c r="H6" s="6">
        <v>0.7041651833</v>
      </c>
      <c r="I6" s="6">
        <v>0.89679861819999995</v>
      </c>
      <c r="J6" s="6">
        <v>0.33837476480000001</v>
      </c>
    </row>
    <row r="7" spans="1:10" ht="20" x14ac:dyDescent="0.2">
      <c r="A7" s="18"/>
      <c r="B7" s="19"/>
      <c r="C7" s="17"/>
      <c r="D7" s="5" t="s">
        <v>24</v>
      </c>
      <c r="E7" s="4" t="s">
        <v>8</v>
      </c>
      <c r="F7" s="6">
        <v>6.6761616999999997E-3</v>
      </c>
      <c r="G7" s="6">
        <v>1.9583407000000001E-3</v>
      </c>
      <c r="H7" s="6">
        <v>0.23549305800000001</v>
      </c>
      <c r="I7" s="6">
        <v>0.49961144740000002</v>
      </c>
      <c r="J7" s="6">
        <v>0.46473246909999999</v>
      </c>
    </row>
    <row r="8" spans="1:10" ht="20" x14ac:dyDescent="0.2">
      <c r="A8" s="18"/>
      <c r="B8" s="19"/>
      <c r="C8" s="17"/>
      <c r="D8" s="5" t="s">
        <v>25</v>
      </c>
      <c r="E8" s="4" t="s">
        <v>9</v>
      </c>
      <c r="F8" s="6">
        <v>6.0441516799999997E-2</v>
      </c>
      <c r="G8" s="6">
        <v>2.6704646999999998E-3</v>
      </c>
      <c r="H8" s="6">
        <v>0.31149875399999999</v>
      </c>
      <c r="I8" s="6">
        <v>0.71991911330000002</v>
      </c>
      <c r="J8" s="6">
        <v>0.42934743289999999</v>
      </c>
    </row>
    <row r="9" spans="1:10" x14ac:dyDescent="0.2">
      <c r="A9" s="4"/>
      <c r="B9" s="19"/>
      <c r="C9" s="7"/>
      <c r="E9" s="4"/>
      <c r="F9" s="6"/>
      <c r="G9" s="6"/>
      <c r="H9" s="6"/>
      <c r="I9" s="6"/>
      <c r="J9" s="6"/>
    </row>
    <row r="10" spans="1:10" ht="20" x14ac:dyDescent="0.2">
      <c r="A10" s="18" t="s">
        <v>13</v>
      </c>
      <c r="B10" s="19"/>
      <c r="C10" s="16" t="s">
        <v>31</v>
      </c>
      <c r="D10" s="5" t="s">
        <v>23</v>
      </c>
      <c r="E10" s="4" t="s">
        <v>7</v>
      </c>
      <c r="F10" s="6">
        <v>0.24435052609999999</v>
      </c>
      <c r="G10" s="6">
        <v>8.5647748900000001E-2</v>
      </c>
      <c r="H10" s="6">
        <v>0.71615795829999995</v>
      </c>
      <c r="I10" s="6">
        <v>0.82266938190000005</v>
      </c>
      <c r="J10" s="6">
        <v>0.36296189179999999</v>
      </c>
    </row>
    <row r="11" spans="1:10" ht="20" x14ac:dyDescent="0.2">
      <c r="A11" s="18"/>
      <c r="B11" s="19"/>
      <c r="C11" s="17"/>
      <c r="D11" s="5" t="s">
        <v>24</v>
      </c>
      <c r="E11" s="4" t="s">
        <v>8</v>
      </c>
      <c r="F11" s="6">
        <v>2.5875449999999999E-4</v>
      </c>
      <c r="G11" s="6">
        <v>6.9001209999999997E-4</v>
      </c>
      <c r="H11" s="6">
        <v>0.20865666490000001</v>
      </c>
      <c r="I11" s="6">
        <v>0.47079427410000002</v>
      </c>
      <c r="J11" s="6">
        <v>0.45838528540000001</v>
      </c>
    </row>
    <row r="12" spans="1:10" ht="20" x14ac:dyDescent="0.2">
      <c r="A12" s="18"/>
      <c r="B12" s="19"/>
      <c r="C12" s="17"/>
      <c r="D12" s="5" t="s">
        <v>25</v>
      </c>
      <c r="E12" s="4" t="s">
        <v>9</v>
      </c>
      <c r="F12" s="6">
        <v>0.1211833707</v>
      </c>
      <c r="G12" s="6">
        <v>3.1050543E-3</v>
      </c>
      <c r="H12" s="6">
        <v>0.9177444387</v>
      </c>
      <c r="I12" s="6">
        <v>0.69351546639999995</v>
      </c>
      <c r="J12" s="6">
        <v>0.44707171179999999</v>
      </c>
    </row>
    <row r="13" spans="1:10" x14ac:dyDescent="0.2">
      <c r="A13" s="4"/>
      <c r="B13" s="19"/>
      <c r="C13" s="7"/>
      <c r="E13" s="4"/>
      <c r="F13" s="6"/>
      <c r="G13" s="6"/>
      <c r="H13" s="6"/>
      <c r="I13" s="6"/>
      <c r="J13" s="6"/>
    </row>
    <row r="14" spans="1:10" ht="20" x14ac:dyDescent="0.2">
      <c r="A14" s="18" t="s">
        <v>10</v>
      </c>
      <c r="B14" s="19"/>
      <c r="C14" s="16" t="s">
        <v>32</v>
      </c>
      <c r="D14" s="5" t="s">
        <v>23</v>
      </c>
      <c r="E14" s="4" t="s">
        <v>7</v>
      </c>
      <c r="F14" s="6">
        <v>0.2936996684</v>
      </c>
      <c r="G14" s="6">
        <v>0.20685299230000001</v>
      </c>
      <c r="H14" s="6">
        <v>0.42509865819999998</v>
      </c>
      <c r="I14" s="6">
        <v>0.56583758049999999</v>
      </c>
      <c r="J14" s="6">
        <v>0.49178021</v>
      </c>
    </row>
    <row r="15" spans="1:10" ht="20" x14ac:dyDescent="0.2">
      <c r="A15" s="18"/>
      <c r="B15" s="19"/>
      <c r="C15" s="17"/>
      <c r="D15" s="5" t="s">
        <v>24</v>
      </c>
      <c r="E15" s="4" t="s">
        <v>8</v>
      </c>
      <c r="F15" s="6">
        <v>1.9343123300000001E-2</v>
      </c>
      <c r="G15" s="6">
        <v>1.5790305000000001E-3</v>
      </c>
      <c r="H15" s="6">
        <v>0.18153117599999999</v>
      </c>
      <c r="I15" s="6">
        <v>0.48632991129999997</v>
      </c>
      <c r="J15" s="6">
        <v>0.46439393150000002</v>
      </c>
    </row>
    <row r="16" spans="1:10" ht="20" x14ac:dyDescent="0.2">
      <c r="A16" s="18"/>
      <c r="B16" s="19"/>
      <c r="C16" s="17"/>
      <c r="D16" s="5" t="s">
        <v>25</v>
      </c>
      <c r="E16" s="4" t="s">
        <v>9</v>
      </c>
      <c r="F16" s="6">
        <v>3.9475760000000002E-4</v>
      </c>
      <c r="G16" s="6">
        <v>2.0527396999999998E-3</v>
      </c>
      <c r="H16" s="6">
        <v>0.4123125493</v>
      </c>
      <c r="I16" s="6">
        <v>0.67969558269999997</v>
      </c>
      <c r="J16" s="6">
        <v>0.38283168769999998</v>
      </c>
    </row>
    <row r="17" spans="1:10" x14ac:dyDescent="0.2">
      <c r="A17" s="4"/>
      <c r="B17" s="19"/>
      <c r="C17" s="7"/>
      <c r="E17" s="4"/>
      <c r="F17" s="6"/>
      <c r="G17" s="6"/>
      <c r="H17" s="6"/>
      <c r="I17" s="6"/>
      <c r="J17" s="6"/>
    </row>
    <row r="18" spans="1:10" ht="20" x14ac:dyDescent="0.2">
      <c r="A18" s="18" t="s">
        <v>14</v>
      </c>
      <c r="B18" s="19"/>
      <c r="C18" s="16" t="s">
        <v>33</v>
      </c>
      <c r="D18" s="5" t="s">
        <v>23</v>
      </c>
      <c r="E18" s="4" t="s">
        <v>7</v>
      </c>
      <c r="F18" s="6">
        <v>0.23478027870000001</v>
      </c>
      <c r="G18" s="6">
        <v>1.1789925E-2</v>
      </c>
      <c r="H18" s="6">
        <v>0.26931732930000002</v>
      </c>
      <c r="I18" s="6">
        <v>0.7128761857</v>
      </c>
      <c r="J18" s="6">
        <v>0.57085650089999995</v>
      </c>
    </row>
    <row r="19" spans="1:10" ht="20" x14ac:dyDescent="0.2">
      <c r="A19" s="18"/>
      <c r="B19" s="19"/>
      <c r="C19" s="17"/>
      <c r="D19" s="5" t="s">
        <v>24</v>
      </c>
      <c r="E19" s="4" t="s">
        <v>8</v>
      </c>
      <c r="F19" s="6">
        <v>3.9121115E-3</v>
      </c>
      <c r="G19" s="6">
        <v>9.1103959999999998E-4</v>
      </c>
      <c r="H19" s="6">
        <v>0.1325688565</v>
      </c>
      <c r="I19" s="6">
        <v>0.50017095369999998</v>
      </c>
      <c r="J19" s="6">
        <v>0.45467135809999998</v>
      </c>
    </row>
    <row r="20" spans="1:10" ht="20" x14ac:dyDescent="0.2">
      <c r="A20" s="18"/>
      <c r="B20" s="19"/>
      <c r="C20" s="17"/>
      <c r="D20" s="5" t="s">
        <v>25</v>
      </c>
      <c r="E20" s="4" t="s">
        <v>9</v>
      </c>
      <c r="F20" s="6">
        <v>3.2154340000000001E-4</v>
      </c>
      <c r="G20" s="6">
        <v>1.1789925E-3</v>
      </c>
      <c r="H20" s="6">
        <v>0.99978566069999997</v>
      </c>
      <c r="I20" s="6">
        <v>0.56909233280000004</v>
      </c>
      <c r="J20" s="6">
        <v>0.41671796290000002</v>
      </c>
    </row>
    <row r="21" spans="1:10" x14ac:dyDescent="0.2">
      <c r="A21" s="4"/>
      <c r="B21" s="19"/>
      <c r="C21" s="7"/>
      <c r="E21" s="4"/>
      <c r="F21" s="6"/>
      <c r="G21" s="6"/>
      <c r="H21" s="6"/>
      <c r="I21" s="6"/>
      <c r="J21" s="6"/>
    </row>
    <row r="22" spans="1:10" ht="20" x14ac:dyDescent="0.2">
      <c r="A22" s="18" t="s">
        <v>12</v>
      </c>
      <c r="B22" s="19"/>
      <c r="C22" s="16" t="s">
        <v>34</v>
      </c>
      <c r="D22" s="5" t="s">
        <v>23</v>
      </c>
      <c r="E22" s="4" t="s">
        <v>7</v>
      </c>
      <c r="F22" s="6">
        <v>0.34495268140000002</v>
      </c>
      <c r="G22" s="6">
        <v>0.26976866449999998</v>
      </c>
      <c r="H22" s="6">
        <v>0.475294365</v>
      </c>
      <c r="I22" s="6">
        <v>0.78049282519999996</v>
      </c>
      <c r="J22" s="6">
        <v>0.55451078300000001</v>
      </c>
    </row>
    <row r="23" spans="1:10" ht="20" x14ac:dyDescent="0.2">
      <c r="A23" s="18"/>
      <c r="B23" s="19"/>
      <c r="C23" s="17"/>
      <c r="D23" s="5" t="s">
        <v>24</v>
      </c>
      <c r="E23" s="4" t="s">
        <v>8</v>
      </c>
      <c r="F23" s="6">
        <v>2.7024185100000001E-2</v>
      </c>
      <c r="G23" s="6">
        <v>8.4121969999999995E-4</v>
      </c>
      <c r="H23" s="6">
        <v>0.36028174940000002</v>
      </c>
      <c r="I23" s="6">
        <v>0.61734490620000004</v>
      </c>
      <c r="J23" s="6">
        <v>0.5103893974</v>
      </c>
    </row>
    <row r="24" spans="1:10" ht="20" x14ac:dyDescent="0.2">
      <c r="A24" s="18"/>
      <c r="B24" s="19"/>
      <c r="C24" s="17"/>
      <c r="D24" s="5" t="s">
        <v>25</v>
      </c>
      <c r="E24" s="4" t="s">
        <v>9</v>
      </c>
      <c r="F24" s="6">
        <v>3.3123028399999997E-2</v>
      </c>
      <c r="G24" s="6">
        <v>7.6235542000000003E-3</v>
      </c>
      <c r="H24" s="6">
        <v>4.0370058899999998E-2</v>
      </c>
      <c r="I24" s="6">
        <v>0.73800232369999996</v>
      </c>
      <c r="J24" s="6">
        <v>0.30991946269999998</v>
      </c>
    </row>
    <row r="25" spans="1:10" x14ac:dyDescent="0.2">
      <c r="A25" s="4"/>
      <c r="B25" s="19"/>
      <c r="C25" s="7"/>
      <c r="E25" s="4"/>
      <c r="F25" s="6"/>
      <c r="G25" s="6"/>
      <c r="H25" s="6"/>
      <c r="I25" s="6"/>
      <c r="J25" s="6"/>
    </row>
    <row r="26" spans="1:10" ht="20" x14ac:dyDescent="0.2">
      <c r="A26" s="18" t="s">
        <v>15</v>
      </c>
      <c r="B26" s="19"/>
      <c r="C26" s="16" t="s">
        <v>35</v>
      </c>
      <c r="D26" s="8" t="s">
        <v>23</v>
      </c>
      <c r="E26" s="9" t="s">
        <v>7</v>
      </c>
      <c r="F26" s="10">
        <v>0.36888787810000001</v>
      </c>
      <c r="G26" s="10">
        <v>2.8428473900000001E-2</v>
      </c>
      <c r="H26" s="10">
        <v>0.62694712909999994</v>
      </c>
      <c r="I26" s="10">
        <v>0.93170479559999997</v>
      </c>
      <c r="J26" s="10">
        <v>0.60099030450000002</v>
      </c>
    </row>
    <row r="27" spans="1:10" ht="20" x14ac:dyDescent="0.2">
      <c r="A27" s="18"/>
      <c r="B27" s="19"/>
      <c r="C27" s="17"/>
      <c r="D27" s="5" t="s">
        <v>24</v>
      </c>
      <c r="E27" s="4" t="s">
        <v>8</v>
      </c>
      <c r="F27" s="6">
        <v>3.1271320999999999E-3</v>
      </c>
      <c r="G27" s="6">
        <v>1.7625652999999999E-3</v>
      </c>
      <c r="H27" s="6">
        <v>0.16861853330000001</v>
      </c>
      <c r="I27" s="6">
        <v>0.48311814609999998</v>
      </c>
      <c r="J27" s="6">
        <v>0.45434208450000002</v>
      </c>
    </row>
    <row r="28" spans="1:10" ht="20" x14ac:dyDescent="0.2">
      <c r="A28" s="18"/>
      <c r="B28" s="19"/>
      <c r="C28" s="17"/>
      <c r="D28" s="5" t="s">
        <v>25</v>
      </c>
      <c r="E28" s="4" t="s">
        <v>9</v>
      </c>
      <c r="F28" s="6">
        <v>4.2074141000000001E-3</v>
      </c>
      <c r="G28" s="6">
        <v>1.1371389999999999E-3</v>
      </c>
      <c r="H28" s="6">
        <v>0.38783399660000001</v>
      </c>
      <c r="I28" s="6">
        <v>0.78208403780000002</v>
      </c>
      <c r="J28" s="6">
        <v>0.3520815081</v>
      </c>
    </row>
    <row r="29" spans="1:10" x14ac:dyDescent="0.2">
      <c r="A29" s="4"/>
      <c r="B29" s="19"/>
      <c r="C29" s="7"/>
      <c r="E29" s="4"/>
      <c r="F29" s="6"/>
      <c r="G29" s="6"/>
      <c r="H29" s="6"/>
      <c r="I29" s="6"/>
      <c r="J29" s="6"/>
    </row>
    <row r="30" spans="1:10" ht="20" x14ac:dyDescent="0.2">
      <c r="A30" s="18" t="s">
        <v>11</v>
      </c>
      <c r="B30" s="19"/>
      <c r="C30" s="16" t="s">
        <v>36</v>
      </c>
      <c r="D30" s="8" t="s">
        <v>23</v>
      </c>
      <c r="E30" s="9" t="s">
        <v>7</v>
      </c>
      <c r="F30" s="10">
        <v>0.33673143039999998</v>
      </c>
      <c r="G30" s="10">
        <v>0.29987207170000002</v>
      </c>
      <c r="H30" s="10">
        <v>0.6898784778</v>
      </c>
      <c r="I30" s="10">
        <v>0.86524650000000003</v>
      </c>
      <c r="J30" s="10">
        <v>0.62325757849999996</v>
      </c>
    </row>
    <row r="31" spans="1:10" ht="20" x14ac:dyDescent="0.2">
      <c r="A31" s="18"/>
      <c r="B31" s="19"/>
      <c r="C31" s="17"/>
      <c r="D31" s="5" t="s">
        <v>24</v>
      </c>
      <c r="E31" s="4" t="s">
        <v>8</v>
      </c>
      <c r="F31" s="6">
        <v>0.25213880230000002</v>
      </c>
      <c r="G31" s="6">
        <v>8.3952989999999997E-4</v>
      </c>
      <c r="H31" s="6">
        <v>0.56747681480000001</v>
      </c>
      <c r="I31" s="6">
        <v>0.75965223319999997</v>
      </c>
      <c r="J31" s="6">
        <v>0.66748238380000002</v>
      </c>
    </row>
    <row r="32" spans="1:10" ht="20" x14ac:dyDescent="0.2">
      <c r="A32" s="18"/>
      <c r="B32" s="19"/>
      <c r="C32" s="17"/>
      <c r="D32" s="8" t="s">
        <v>25</v>
      </c>
      <c r="E32" s="9" t="s">
        <v>9</v>
      </c>
      <c r="F32" s="10">
        <v>2.2787239000000002E-3</v>
      </c>
      <c r="G32" s="10">
        <v>1.2792836E-3</v>
      </c>
      <c r="H32" s="10">
        <v>1</v>
      </c>
      <c r="I32" s="10">
        <v>0.32831014139999998</v>
      </c>
      <c r="J32" s="10">
        <v>0.49184598489999998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18" t="s">
        <v>19</v>
      </c>
      <c r="B34" s="18" t="s">
        <v>51</v>
      </c>
      <c r="C34" s="16" t="s">
        <v>29</v>
      </c>
      <c r="D34" s="5" t="s">
        <v>23</v>
      </c>
      <c r="E34" s="4" t="s">
        <v>7</v>
      </c>
      <c r="F34" s="6">
        <v>6.1450381700000001E-2</v>
      </c>
      <c r="G34" s="6">
        <v>3.8167939000000001E-3</v>
      </c>
      <c r="H34" s="6">
        <v>0.33269817070000002</v>
      </c>
      <c r="I34" s="6">
        <v>0.49707423579999999</v>
      </c>
      <c r="J34" s="6">
        <v>0.50055261719999999</v>
      </c>
    </row>
    <row r="35" spans="1:10" ht="20" x14ac:dyDescent="0.2">
      <c r="A35" s="18"/>
      <c r="B35" s="18"/>
      <c r="C35" s="17"/>
      <c r="D35" s="5" t="s">
        <v>24</v>
      </c>
      <c r="E35" s="4" t="s">
        <v>8</v>
      </c>
      <c r="F35" s="6">
        <v>4.2938931299999997E-2</v>
      </c>
      <c r="G35" s="6">
        <v>1.9083969999999999E-4</v>
      </c>
      <c r="H35" s="6">
        <v>0.20884146340000001</v>
      </c>
      <c r="I35" s="6">
        <v>0.44347345649999997</v>
      </c>
      <c r="J35" s="6">
        <v>0.46894775529999999</v>
      </c>
    </row>
    <row r="36" spans="1:10" ht="20" x14ac:dyDescent="0.2">
      <c r="A36" s="18"/>
      <c r="B36" s="18"/>
      <c r="C36" s="17"/>
      <c r="D36" s="5" t="s">
        <v>25</v>
      </c>
      <c r="E36" s="4" t="s">
        <v>9</v>
      </c>
      <c r="F36" s="6">
        <v>4.0076335900000003E-2</v>
      </c>
      <c r="G36" s="6">
        <v>1.6793893099999999E-2</v>
      </c>
      <c r="H36" s="6">
        <v>0.24961890240000001</v>
      </c>
      <c r="I36" s="6">
        <v>0.70903901039999995</v>
      </c>
      <c r="J36" s="6">
        <v>0.4123713255</v>
      </c>
    </row>
    <row r="37" spans="1:10" x14ac:dyDescent="0.2">
      <c r="A37" s="4"/>
      <c r="B37" s="18"/>
      <c r="C37" s="7"/>
      <c r="E37" s="4"/>
      <c r="F37" s="6"/>
      <c r="G37" s="6"/>
      <c r="H37" s="6"/>
      <c r="I37" s="6"/>
      <c r="J37" s="6"/>
    </row>
    <row r="38" spans="1:10" ht="20" x14ac:dyDescent="0.2">
      <c r="A38" s="18" t="s">
        <v>20</v>
      </c>
      <c r="B38" s="18"/>
      <c r="C38" s="16" t="s">
        <v>30</v>
      </c>
      <c r="D38" s="5" t="s">
        <v>23</v>
      </c>
      <c r="E38" s="4" t="s">
        <v>7</v>
      </c>
      <c r="F38" s="6">
        <v>0.2656225405</v>
      </c>
      <c r="G38" s="6">
        <v>2.8805288799999999E-2</v>
      </c>
      <c r="H38" s="6">
        <v>0.64332913780000001</v>
      </c>
      <c r="I38" s="6">
        <v>0.8632216238</v>
      </c>
      <c r="J38" s="6">
        <v>0.37429013350000001</v>
      </c>
    </row>
    <row r="39" spans="1:10" ht="20" x14ac:dyDescent="0.2">
      <c r="A39" s="18"/>
      <c r="B39" s="18"/>
      <c r="C39" s="17"/>
      <c r="D39" s="8" t="s">
        <v>24</v>
      </c>
      <c r="E39" s="9" t="s">
        <v>8</v>
      </c>
      <c r="F39" s="10">
        <v>0.18196127810000001</v>
      </c>
      <c r="G39" s="10">
        <v>1.9990555600000001E-2</v>
      </c>
      <c r="H39" s="10">
        <v>0.66960352420000002</v>
      </c>
      <c r="I39" s="10">
        <v>0.86284930189999998</v>
      </c>
      <c r="J39" s="10">
        <v>0.73837189619999999</v>
      </c>
    </row>
    <row r="40" spans="1:10" ht="20" x14ac:dyDescent="0.2">
      <c r="A40" s="18"/>
      <c r="B40" s="18"/>
      <c r="C40" s="17"/>
      <c r="D40" s="5" t="s">
        <v>25</v>
      </c>
      <c r="E40" s="4" t="s">
        <v>9</v>
      </c>
      <c r="F40" s="6">
        <v>5.4698567599999998E-2</v>
      </c>
      <c r="G40" s="6">
        <v>8.6573270000000005E-4</v>
      </c>
      <c r="H40" s="6">
        <v>0.31167400880000001</v>
      </c>
      <c r="I40" s="6">
        <v>0.71238779330000002</v>
      </c>
      <c r="J40" s="6">
        <v>0.41563923089999999</v>
      </c>
    </row>
    <row r="41" spans="1:10" x14ac:dyDescent="0.2">
      <c r="A41" s="4"/>
      <c r="B41" s="18"/>
      <c r="C41" s="7"/>
      <c r="E41" s="4"/>
      <c r="F41" s="6"/>
      <c r="G41" s="6"/>
      <c r="H41" s="6"/>
      <c r="I41" s="6"/>
      <c r="J41" s="6"/>
    </row>
    <row r="42" spans="1:10" ht="20" x14ac:dyDescent="0.2">
      <c r="A42" s="18" t="s">
        <v>6</v>
      </c>
      <c r="B42" s="18"/>
      <c r="C42" s="16" t="s">
        <v>31</v>
      </c>
      <c r="D42" s="5" t="s">
        <v>23</v>
      </c>
      <c r="E42" s="4" t="s">
        <v>7</v>
      </c>
      <c r="F42" s="6">
        <v>0.26313761749999998</v>
      </c>
      <c r="G42" s="6">
        <v>5.0855294000000002E-3</v>
      </c>
      <c r="H42" s="6">
        <v>0.70563770790000002</v>
      </c>
      <c r="I42" s="6">
        <v>0.85565188420000005</v>
      </c>
      <c r="J42" s="6">
        <v>0.64172259359999995</v>
      </c>
    </row>
    <row r="43" spans="1:10" ht="20" x14ac:dyDescent="0.2">
      <c r="A43" s="18"/>
      <c r="B43" s="18"/>
      <c r="C43" s="17"/>
      <c r="D43" s="5" t="s">
        <v>24</v>
      </c>
      <c r="E43" s="4" t="s">
        <v>8</v>
      </c>
      <c r="F43" s="6">
        <v>1.0787487000000001E-3</v>
      </c>
      <c r="G43" s="6">
        <v>1.3099091E-3</v>
      </c>
      <c r="H43" s="6">
        <v>0.17174984600000001</v>
      </c>
      <c r="I43" s="6">
        <v>0.49771189119999998</v>
      </c>
      <c r="J43" s="6">
        <v>0.46921686530000001</v>
      </c>
    </row>
    <row r="44" spans="1:10" ht="20" x14ac:dyDescent="0.2">
      <c r="A44" s="18"/>
      <c r="B44" s="18"/>
      <c r="C44" s="17"/>
      <c r="D44" s="5" t="s">
        <v>25</v>
      </c>
      <c r="E44" s="4" t="s">
        <v>9</v>
      </c>
      <c r="F44" s="6">
        <v>1.6643550600000001E-2</v>
      </c>
      <c r="G44" s="6">
        <v>2.9280320000000001E-3</v>
      </c>
      <c r="H44" s="6">
        <v>0.404189772</v>
      </c>
      <c r="I44" s="6">
        <v>0.7180565082</v>
      </c>
      <c r="J44" s="6">
        <v>0.41127963200000001</v>
      </c>
    </row>
    <row r="45" spans="1:10" x14ac:dyDescent="0.2">
      <c r="A45" s="4"/>
      <c r="B45" s="18"/>
      <c r="C45" s="7"/>
      <c r="E45" s="4"/>
      <c r="F45" s="6"/>
      <c r="G45" s="6"/>
      <c r="H45" s="6"/>
      <c r="I45" s="6"/>
      <c r="J45" s="6"/>
    </row>
    <row r="46" spans="1:10" ht="20" x14ac:dyDescent="0.2">
      <c r="A46" s="18" t="s">
        <v>16</v>
      </c>
      <c r="B46" s="18"/>
      <c r="C46" s="16" t="s">
        <v>35</v>
      </c>
      <c r="D46" s="5" t="s">
        <v>23</v>
      </c>
      <c r="E46" s="4" t="s">
        <v>7</v>
      </c>
      <c r="F46" s="6">
        <v>0.33692036780000001</v>
      </c>
      <c r="G46" s="6">
        <v>0.1694873801</v>
      </c>
      <c r="H46" s="6">
        <v>0.51398669799999996</v>
      </c>
      <c r="I46" s="6">
        <v>0.91656626699999999</v>
      </c>
      <c r="J46" s="6">
        <v>0.32594344520000001</v>
      </c>
    </row>
    <row r="47" spans="1:10" ht="20" x14ac:dyDescent="0.2">
      <c r="A47" s="18"/>
      <c r="B47" s="18"/>
      <c r="C47" s="17"/>
      <c r="D47" s="5" t="s">
        <v>24</v>
      </c>
      <c r="E47" s="4" t="s">
        <v>8</v>
      </c>
      <c r="F47" s="6">
        <v>1.2717668E-3</v>
      </c>
      <c r="G47" s="6">
        <v>3.913128E-4</v>
      </c>
      <c r="H47" s="6">
        <v>0.20921361499999999</v>
      </c>
      <c r="I47" s="6">
        <v>0.49602422260000001</v>
      </c>
      <c r="J47" s="6">
        <v>0.45218056449999999</v>
      </c>
    </row>
    <row r="48" spans="1:10" ht="20" x14ac:dyDescent="0.2">
      <c r="A48" s="18"/>
      <c r="B48" s="18"/>
      <c r="C48" s="17"/>
      <c r="D48" s="5" t="s">
        <v>25</v>
      </c>
      <c r="E48" s="4" t="s">
        <v>9</v>
      </c>
      <c r="F48" s="6">
        <v>1.956564E-4</v>
      </c>
      <c r="G48" s="6">
        <v>3.0326746000000002E-3</v>
      </c>
      <c r="H48" s="6">
        <v>0.92957746480000003</v>
      </c>
      <c r="I48" s="6">
        <v>0.39930867390000002</v>
      </c>
      <c r="J48" s="6">
        <v>0.59715152140000005</v>
      </c>
    </row>
    <row r="51" spans="4:10" x14ac:dyDescent="0.2">
      <c r="E51" s="8" t="s">
        <v>39</v>
      </c>
      <c r="F51" s="11">
        <f>MAX(F2:F48)</f>
        <v>0.36888787810000001</v>
      </c>
      <c r="G51" s="11">
        <f>MAX(G2:G48)</f>
        <v>0.29987207170000002</v>
      </c>
      <c r="H51" s="11">
        <f>MAX(H2:H48)</f>
        <v>1</v>
      </c>
      <c r="I51" s="11">
        <f>MAX(I2:I48)</f>
        <v>0.93170479559999997</v>
      </c>
      <c r="J51" s="11">
        <f>MAX(J2:J48)</f>
        <v>0.73837189619999999</v>
      </c>
    </row>
    <row r="52" spans="4:10" x14ac:dyDescent="0.2">
      <c r="D52" s="5" t="s">
        <v>37</v>
      </c>
      <c r="E52" s="8" t="s">
        <v>38</v>
      </c>
      <c r="F52" s="11">
        <f>AVERAGE(F2:F48)</f>
        <v>0.11255999476111112</v>
      </c>
      <c r="G52" s="11">
        <f>AVERAGE(G2:G48)</f>
        <v>3.3579869738888893E-2</v>
      </c>
      <c r="H52" s="11">
        <f>AVERAGE(H2:H48)</f>
        <v>0.44770721901944444</v>
      </c>
      <c r="I52" s="11">
        <f>AVERAGE(I2:I48)</f>
        <v>0.64405628112222224</v>
      </c>
      <c r="J52" s="11">
        <f>AVERAGE(J2:J48)</f>
        <v>0.47476483075833337</v>
      </c>
    </row>
  </sheetData>
  <mergeCells count="26">
    <mergeCell ref="C2:C4"/>
    <mergeCell ref="C6:C8"/>
    <mergeCell ref="C10:C12"/>
    <mergeCell ref="C14:C16"/>
    <mergeCell ref="A38:A40"/>
    <mergeCell ref="B2:B32"/>
    <mergeCell ref="B34:B48"/>
    <mergeCell ref="A18:A20"/>
    <mergeCell ref="A26:A28"/>
    <mergeCell ref="A46:A48"/>
    <mergeCell ref="A2:A4"/>
    <mergeCell ref="A6:A8"/>
    <mergeCell ref="A34:A36"/>
    <mergeCell ref="A42:A44"/>
    <mergeCell ref="A14:A16"/>
    <mergeCell ref="A30:A32"/>
    <mergeCell ref="A22:A24"/>
    <mergeCell ref="A10:A12"/>
    <mergeCell ref="C42:C44"/>
    <mergeCell ref="C46:C48"/>
    <mergeCell ref="C18:C20"/>
    <mergeCell ref="C22:C24"/>
    <mergeCell ref="C26:C28"/>
    <mergeCell ref="C30:C32"/>
    <mergeCell ref="C34:C36"/>
    <mergeCell ref="C38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3BF7-06C8-D44A-B837-48D3A4A0787B}">
  <dimension ref="A1:J52"/>
  <sheetViews>
    <sheetView tabSelected="1" workbookViewId="0">
      <selection activeCell="J16" sqref="J16"/>
    </sheetView>
  </sheetViews>
  <sheetFormatPr baseColWidth="10" defaultColWidth="8.83203125" defaultRowHeight="19" x14ac:dyDescent="0.2"/>
  <cols>
    <col min="1" max="1" width="44.83203125" style="5" bestFit="1" customWidth="1"/>
    <col min="2" max="2" width="28.1640625" style="5" customWidth="1"/>
    <col min="3" max="3" width="46" style="5" customWidth="1"/>
    <col min="4" max="4" width="26.6640625" style="5" customWidth="1"/>
    <col min="5" max="5" width="17.6640625" style="5" customWidth="1"/>
    <col min="6" max="6" width="32.83203125" style="12" bestFit="1" customWidth="1"/>
    <col min="7" max="7" width="30.33203125" style="12" bestFit="1" customWidth="1"/>
    <col min="8" max="8" width="36.5" style="12" bestFit="1" customWidth="1"/>
    <col min="9" max="9" width="39" style="12" bestFit="1" customWidth="1"/>
    <col min="10" max="10" width="42.5" style="12" bestFit="1" customWidth="1"/>
    <col min="11" max="16384" width="8.83203125" style="5"/>
  </cols>
  <sheetData>
    <row r="1" spans="1:10" s="15" customFormat="1" ht="67" thickBot="1" x14ac:dyDescent="0.25">
      <c r="A1" s="13" t="s">
        <v>50</v>
      </c>
      <c r="B1" s="13" t="s">
        <v>26</v>
      </c>
      <c r="C1" s="13" t="s">
        <v>27</v>
      </c>
      <c r="D1" s="13" t="s">
        <v>22</v>
      </c>
      <c r="E1" s="13" t="s">
        <v>0</v>
      </c>
      <c r="F1" s="14" t="s">
        <v>1</v>
      </c>
      <c r="G1" s="14" t="s">
        <v>2</v>
      </c>
      <c r="H1" s="14" t="s">
        <v>3</v>
      </c>
      <c r="I1" s="14" t="s">
        <v>4</v>
      </c>
      <c r="J1" s="14" t="s">
        <v>5</v>
      </c>
    </row>
    <row r="2" spans="1:10" ht="20" x14ac:dyDescent="0.2">
      <c r="A2" s="18" t="s">
        <v>40</v>
      </c>
      <c r="B2" s="19" t="s">
        <v>28</v>
      </c>
      <c r="C2" s="16" t="s">
        <v>29</v>
      </c>
      <c r="D2" s="23" t="s">
        <v>23</v>
      </c>
      <c r="E2" s="24" t="s">
        <v>7</v>
      </c>
      <c r="F2" s="26">
        <v>8.9244851299999997E-2</v>
      </c>
      <c r="G2" s="26">
        <v>4.0045766999999999E-3</v>
      </c>
      <c r="H2" s="26">
        <v>0.52135774219999997</v>
      </c>
      <c r="I2" s="26">
        <v>0.61007338850000004</v>
      </c>
      <c r="J2" s="26">
        <v>0.55770218569999996</v>
      </c>
    </row>
    <row r="3" spans="1:10" ht="20" x14ac:dyDescent="0.2">
      <c r="A3" s="18"/>
      <c r="B3" s="19"/>
      <c r="C3" s="17"/>
      <c r="D3" s="23" t="s">
        <v>24</v>
      </c>
      <c r="E3" s="24" t="s">
        <v>8</v>
      </c>
      <c r="F3" s="26">
        <v>9.7254005000000001E-3</v>
      </c>
      <c r="G3" s="26">
        <v>4.9580472999999998E-3</v>
      </c>
      <c r="H3" s="26">
        <v>0.27765064839999998</v>
      </c>
      <c r="I3" s="26">
        <v>0.28339461329999999</v>
      </c>
      <c r="J3" s="26">
        <v>0.22860687900000001</v>
      </c>
    </row>
    <row r="4" spans="1:10" ht="20" x14ac:dyDescent="0.2">
      <c r="A4" s="18"/>
      <c r="B4" s="19"/>
      <c r="C4" s="17"/>
      <c r="D4" s="23" t="s">
        <v>25</v>
      </c>
      <c r="E4" s="24" t="s">
        <v>9</v>
      </c>
      <c r="F4" s="26">
        <v>2.6315789499999999E-2</v>
      </c>
      <c r="G4" s="26">
        <v>2.2883295000000001E-3</v>
      </c>
      <c r="H4" s="26">
        <v>0.26201373</v>
      </c>
      <c r="I4" s="26">
        <v>0.4021947038</v>
      </c>
      <c r="J4" s="26">
        <v>0.41155579170000001</v>
      </c>
    </row>
    <row r="5" spans="1:10" x14ac:dyDescent="0.2">
      <c r="A5" s="4"/>
      <c r="B5" s="19"/>
      <c r="C5" s="7"/>
      <c r="D5" s="23"/>
      <c r="E5" s="24"/>
      <c r="F5" s="6"/>
      <c r="G5" s="6"/>
      <c r="H5" s="6"/>
      <c r="I5" s="6"/>
      <c r="J5" s="6"/>
    </row>
    <row r="6" spans="1:10" ht="20" x14ac:dyDescent="0.2">
      <c r="A6" s="18" t="s">
        <v>41</v>
      </c>
      <c r="B6" s="19"/>
      <c r="C6" s="16" t="s">
        <v>30</v>
      </c>
      <c r="D6" s="23" t="s">
        <v>23</v>
      </c>
      <c r="E6" s="24" t="s">
        <v>7</v>
      </c>
      <c r="F6" s="26">
        <v>2.9176201400000001E-2</v>
      </c>
      <c r="G6" s="26">
        <v>1.1823035900000001E-2</v>
      </c>
      <c r="H6" s="26">
        <v>0.35278413419999999</v>
      </c>
      <c r="I6" s="26">
        <v>0.90289591940000002</v>
      </c>
      <c r="J6" s="26">
        <v>0.38437252039999997</v>
      </c>
    </row>
    <row r="7" spans="1:10" ht="20" x14ac:dyDescent="0.2">
      <c r="A7" s="18"/>
      <c r="B7" s="19"/>
      <c r="C7" s="17"/>
      <c r="D7" s="23" t="s">
        <v>24</v>
      </c>
      <c r="E7" s="24" t="s">
        <v>8</v>
      </c>
      <c r="F7" s="26">
        <v>4.78642258E-2</v>
      </c>
      <c r="G7" s="26">
        <v>5.7208238000000002E-3</v>
      </c>
      <c r="H7" s="26">
        <v>0.56445461480000003</v>
      </c>
      <c r="I7" s="26">
        <v>0.86838170120000002</v>
      </c>
      <c r="J7" s="26">
        <v>0.43012224199999999</v>
      </c>
    </row>
    <row r="8" spans="1:10" ht="20" x14ac:dyDescent="0.2">
      <c r="A8" s="18"/>
      <c r="B8" s="19"/>
      <c r="C8" s="17"/>
      <c r="D8" s="8" t="s">
        <v>25</v>
      </c>
      <c r="E8" s="9" t="s">
        <v>9</v>
      </c>
      <c r="F8" s="27">
        <v>3.8138830000000002E-4</v>
      </c>
      <c r="G8" s="27">
        <v>3.4324943E-3</v>
      </c>
      <c r="H8" s="27">
        <v>1</v>
      </c>
      <c r="I8" s="27">
        <v>0.4664562666</v>
      </c>
      <c r="J8" s="27">
        <v>0.47061019659999997</v>
      </c>
    </row>
    <row r="9" spans="1:10" x14ac:dyDescent="0.2">
      <c r="A9" s="4"/>
      <c r="B9" s="19"/>
      <c r="C9" s="7"/>
      <c r="D9" s="23"/>
      <c r="E9" s="24"/>
      <c r="F9" s="6"/>
      <c r="G9" s="6"/>
      <c r="H9" s="6"/>
      <c r="I9" s="6"/>
      <c r="J9" s="6"/>
    </row>
    <row r="10" spans="1:10" ht="20" x14ac:dyDescent="0.2">
      <c r="A10" s="18" t="s">
        <v>42</v>
      </c>
      <c r="B10" s="19"/>
      <c r="C10" s="16" t="s">
        <v>31</v>
      </c>
      <c r="D10" s="23" t="s">
        <v>23</v>
      </c>
      <c r="E10" s="24" t="s">
        <v>7</v>
      </c>
      <c r="F10" s="26">
        <v>6.9031273800000001E-2</v>
      </c>
      <c r="G10" s="26">
        <v>1.25858124E-2</v>
      </c>
      <c r="H10" s="26">
        <v>0.4755911518</v>
      </c>
      <c r="I10" s="26">
        <v>0.78189336310000002</v>
      </c>
      <c r="J10" s="26">
        <v>0.45351961439999999</v>
      </c>
    </row>
    <row r="11" spans="1:10" ht="20" x14ac:dyDescent="0.2">
      <c r="A11" s="18"/>
      <c r="B11" s="19"/>
      <c r="C11" s="17"/>
      <c r="D11" s="23" t="s">
        <v>24</v>
      </c>
      <c r="E11" s="24" t="s">
        <v>8</v>
      </c>
      <c r="F11" s="26">
        <v>3.8138830000000002E-4</v>
      </c>
      <c r="G11" s="26">
        <v>4.5766590000000003E-3</v>
      </c>
      <c r="H11" s="26">
        <v>0.28794813120000001</v>
      </c>
      <c r="I11" s="26">
        <v>0.50441556720000003</v>
      </c>
      <c r="J11" s="26">
        <v>0.49009279519999999</v>
      </c>
    </row>
    <row r="12" spans="1:10" ht="20" x14ac:dyDescent="0.2">
      <c r="A12" s="18"/>
      <c r="B12" s="19"/>
      <c r="C12" s="17"/>
      <c r="D12" s="8" t="s">
        <v>25</v>
      </c>
      <c r="E12" s="9" t="s">
        <v>9</v>
      </c>
      <c r="F12" s="27">
        <v>3.8138830000000002E-4</v>
      </c>
      <c r="G12" s="27">
        <v>4.0045766999999999E-3</v>
      </c>
      <c r="H12" s="27">
        <v>1</v>
      </c>
      <c r="I12" s="27">
        <v>0.47810245969999998</v>
      </c>
      <c r="J12" s="27">
        <v>0.48136801289999998</v>
      </c>
    </row>
    <row r="13" spans="1:10" x14ac:dyDescent="0.2">
      <c r="A13" s="4"/>
      <c r="B13" s="19"/>
      <c r="C13" s="7"/>
      <c r="D13" s="23"/>
      <c r="E13" s="24"/>
      <c r="F13" s="6"/>
      <c r="G13" s="6"/>
      <c r="H13" s="6"/>
      <c r="I13" s="6"/>
      <c r="J13" s="6"/>
    </row>
    <row r="14" spans="1:10" ht="20" x14ac:dyDescent="0.2">
      <c r="A14" s="18" t="s">
        <v>43</v>
      </c>
      <c r="B14" s="19"/>
      <c r="C14" s="16" t="s">
        <v>32</v>
      </c>
      <c r="D14" s="23" t="s">
        <v>23</v>
      </c>
      <c r="E14" s="24" t="s">
        <v>7</v>
      </c>
      <c r="F14" s="26">
        <v>6.9984744500000001E-2</v>
      </c>
      <c r="G14" s="26">
        <v>1.2395118199999999E-2</v>
      </c>
      <c r="H14" s="26">
        <v>0.38062547670000002</v>
      </c>
      <c r="I14" s="26">
        <v>0.57288055419999995</v>
      </c>
      <c r="J14" s="26">
        <v>0.49366858590000001</v>
      </c>
    </row>
    <row r="15" spans="1:10" ht="20" x14ac:dyDescent="0.2">
      <c r="A15" s="18"/>
      <c r="B15" s="19"/>
      <c r="C15" s="17"/>
      <c r="D15" s="23" t="s">
        <v>24</v>
      </c>
      <c r="E15" s="24" t="s">
        <v>8</v>
      </c>
      <c r="F15" s="26">
        <v>6.2929062000000001E-3</v>
      </c>
      <c r="G15" s="26">
        <v>8.7719298999999994E-3</v>
      </c>
      <c r="H15" s="26">
        <v>0.26620900079999998</v>
      </c>
      <c r="I15" s="26">
        <v>0.49963703459999997</v>
      </c>
      <c r="J15" s="26">
        <v>0.46533840399999998</v>
      </c>
    </row>
    <row r="16" spans="1:10" ht="20" x14ac:dyDescent="0.2">
      <c r="A16" s="18"/>
      <c r="B16" s="19"/>
      <c r="C16" s="17"/>
      <c r="D16" s="8" t="s">
        <v>25</v>
      </c>
      <c r="E16" s="9" t="s">
        <v>9</v>
      </c>
      <c r="F16" s="27">
        <v>0</v>
      </c>
      <c r="G16" s="27">
        <v>1.1441648000000001E-3</v>
      </c>
      <c r="H16" s="27">
        <v>0.82646834479999998</v>
      </c>
      <c r="I16" s="27">
        <v>0.73931582289999997</v>
      </c>
      <c r="J16" s="27">
        <v>0.86156660770000004</v>
      </c>
    </row>
    <row r="17" spans="1:10" x14ac:dyDescent="0.2">
      <c r="A17" s="4"/>
      <c r="B17" s="19"/>
      <c r="C17" s="7"/>
      <c r="D17" s="23"/>
      <c r="E17" s="24"/>
      <c r="F17" s="6"/>
      <c r="G17" s="6"/>
      <c r="H17" s="6"/>
      <c r="I17" s="6"/>
      <c r="J17" s="6"/>
    </row>
    <row r="18" spans="1:10" ht="20" x14ac:dyDescent="0.2">
      <c r="A18" s="18" t="s">
        <v>53</v>
      </c>
      <c r="B18" s="19"/>
      <c r="C18" s="16" t="s">
        <v>33</v>
      </c>
      <c r="D18" s="23" t="s">
        <v>23</v>
      </c>
      <c r="E18" s="24" t="s">
        <v>7</v>
      </c>
      <c r="F18" s="26">
        <v>1.8115941999999999E-2</v>
      </c>
      <c r="G18" s="26">
        <v>3.2418002E-3</v>
      </c>
      <c r="H18" s="26">
        <v>0.47673531660000001</v>
      </c>
      <c r="I18" s="26">
        <v>0.90828805290000003</v>
      </c>
      <c r="J18" s="26">
        <v>0.38241380689999999</v>
      </c>
    </row>
    <row r="19" spans="1:10" ht="20" x14ac:dyDescent="0.2">
      <c r="A19" s="18"/>
      <c r="B19" s="19"/>
      <c r="C19" s="17"/>
      <c r="D19" s="23" t="s">
        <v>24</v>
      </c>
      <c r="E19" s="24" t="s">
        <v>8</v>
      </c>
      <c r="F19" s="26">
        <v>1.4683447699999999E-2</v>
      </c>
      <c r="G19" s="26">
        <v>1.6781083200000001E-2</v>
      </c>
      <c r="H19" s="26">
        <v>0.33028222730000001</v>
      </c>
      <c r="I19" s="26">
        <v>0.6932949316</v>
      </c>
      <c r="J19" s="26">
        <v>0.46851075240000001</v>
      </c>
    </row>
    <row r="20" spans="1:10" ht="20" x14ac:dyDescent="0.2">
      <c r="A20" s="18"/>
      <c r="B20" s="19"/>
      <c r="C20" s="17"/>
      <c r="D20" s="8" t="s">
        <v>25</v>
      </c>
      <c r="E20" s="9" t="s">
        <v>9</v>
      </c>
      <c r="F20" s="27">
        <v>5.7208240000000004E-4</v>
      </c>
      <c r="G20" s="27">
        <v>1.9069412E-3</v>
      </c>
      <c r="H20" s="27">
        <v>1</v>
      </c>
      <c r="I20" s="27">
        <v>0.48074983929999998</v>
      </c>
      <c r="J20" s="27">
        <v>0.47820880100000002</v>
      </c>
    </row>
    <row r="21" spans="1:10" x14ac:dyDescent="0.2">
      <c r="A21" s="4"/>
      <c r="B21" s="19"/>
      <c r="C21" s="7"/>
      <c r="D21" s="23"/>
      <c r="E21" s="24"/>
      <c r="F21" s="6"/>
      <c r="G21" s="6"/>
      <c r="H21" s="6"/>
      <c r="I21" s="6"/>
      <c r="J21" s="6"/>
    </row>
    <row r="22" spans="1:10" ht="20" x14ac:dyDescent="0.2">
      <c r="A22" s="18" t="s">
        <v>52</v>
      </c>
      <c r="B22" s="19"/>
      <c r="C22" s="16" t="s">
        <v>34</v>
      </c>
      <c r="D22" s="23" t="s">
        <v>23</v>
      </c>
      <c r="E22" s="24" t="s">
        <v>7</v>
      </c>
      <c r="F22" s="26">
        <v>6.1022120499999999E-2</v>
      </c>
      <c r="G22" s="26">
        <v>1.9641494999999998E-2</v>
      </c>
      <c r="H22" s="26">
        <v>0.50457665900000004</v>
      </c>
      <c r="I22" s="26">
        <v>0.79997379280000003</v>
      </c>
      <c r="J22" s="26">
        <v>0.4494335834</v>
      </c>
    </row>
    <row r="23" spans="1:10" ht="20" x14ac:dyDescent="0.2">
      <c r="A23" s="18"/>
      <c r="B23" s="19"/>
      <c r="C23" s="17"/>
      <c r="D23" s="23" t="s">
        <v>24</v>
      </c>
      <c r="E23" s="24" t="s">
        <v>8</v>
      </c>
      <c r="F23" s="26">
        <v>1.1441648000000001E-3</v>
      </c>
      <c r="G23" s="26">
        <v>4.3859648999999999E-3</v>
      </c>
      <c r="H23" s="26">
        <v>0.29824561399999999</v>
      </c>
      <c r="I23" s="26">
        <v>0.50951249160000001</v>
      </c>
      <c r="J23" s="26">
        <v>0.48493636159999998</v>
      </c>
    </row>
    <row r="24" spans="1:10" ht="20" x14ac:dyDescent="0.2">
      <c r="A24" s="18"/>
      <c r="B24" s="19"/>
      <c r="C24" s="17"/>
      <c r="D24" s="23" t="s">
        <v>25</v>
      </c>
      <c r="E24" s="24" t="s">
        <v>9</v>
      </c>
      <c r="F24" s="26">
        <v>0</v>
      </c>
      <c r="G24" s="26">
        <v>3.4324943E-3</v>
      </c>
      <c r="H24" s="26">
        <v>0.1468344775</v>
      </c>
      <c r="I24" s="26">
        <v>0.48289788459999999</v>
      </c>
      <c r="J24" s="26">
        <v>0.47928901419999997</v>
      </c>
    </row>
    <row r="25" spans="1:10" x14ac:dyDescent="0.2">
      <c r="A25" s="4"/>
      <c r="B25" s="19"/>
      <c r="C25" s="7"/>
      <c r="D25" s="23"/>
      <c r="E25" s="24"/>
      <c r="F25" s="6"/>
      <c r="G25" s="6"/>
      <c r="H25" s="6"/>
      <c r="I25" s="6"/>
      <c r="J25" s="6"/>
    </row>
    <row r="26" spans="1:10" ht="20" x14ac:dyDescent="0.2">
      <c r="A26" s="18" t="s">
        <v>44</v>
      </c>
      <c r="B26" s="19"/>
      <c r="C26" s="16" t="s">
        <v>35</v>
      </c>
      <c r="D26" s="8" t="s">
        <v>23</v>
      </c>
      <c r="E26" s="9" t="s">
        <v>7</v>
      </c>
      <c r="F26" s="27">
        <v>0.1186117468</v>
      </c>
      <c r="G26" s="27">
        <v>6.1022120000000001E-3</v>
      </c>
      <c r="H26" s="27">
        <v>0.41075514870000002</v>
      </c>
      <c r="I26" s="27">
        <v>0.76521998459999996</v>
      </c>
      <c r="J26" s="27">
        <v>0.42785365250000001</v>
      </c>
    </row>
    <row r="27" spans="1:10" ht="20" x14ac:dyDescent="0.2">
      <c r="A27" s="18"/>
      <c r="B27" s="19"/>
      <c r="C27" s="17"/>
      <c r="D27" s="23" t="s">
        <v>24</v>
      </c>
      <c r="E27" s="24" t="s">
        <v>8</v>
      </c>
      <c r="F27" s="26">
        <v>5.7208240000000004E-4</v>
      </c>
      <c r="G27" s="26">
        <v>2.0976354000000002E-3</v>
      </c>
      <c r="H27" s="26">
        <v>0.26430205950000002</v>
      </c>
      <c r="I27" s="26">
        <v>0.4885343251</v>
      </c>
      <c r="J27" s="26">
        <v>0.47971979549999999</v>
      </c>
    </row>
    <row r="28" spans="1:10" ht="20" x14ac:dyDescent="0.2">
      <c r="A28" s="18"/>
      <c r="B28" s="19"/>
      <c r="C28" s="17"/>
      <c r="D28" s="8" t="s">
        <v>25</v>
      </c>
      <c r="E28" s="9" t="s">
        <v>9</v>
      </c>
      <c r="F28" s="27">
        <v>0</v>
      </c>
      <c r="G28" s="27">
        <v>2.8604119000000001E-3</v>
      </c>
      <c r="H28" s="27">
        <v>1</v>
      </c>
      <c r="I28" s="27">
        <v>0.481477506</v>
      </c>
      <c r="J28" s="27">
        <v>0.48250741460000002</v>
      </c>
    </row>
    <row r="29" spans="1:10" x14ac:dyDescent="0.2">
      <c r="A29" s="4"/>
      <c r="B29" s="19"/>
      <c r="C29" s="7"/>
      <c r="D29" s="23"/>
      <c r="E29" s="24"/>
      <c r="F29" s="6"/>
      <c r="G29" s="6"/>
      <c r="H29" s="6"/>
      <c r="I29" s="6"/>
      <c r="J29" s="6"/>
    </row>
    <row r="30" spans="1:10" ht="20" x14ac:dyDescent="0.2">
      <c r="A30" s="18" t="s">
        <v>45</v>
      </c>
      <c r="B30" s="19"/>
      <c r="C30" s="16" t="s">
        <v>36</v>
      </c>
      <c r="D30" s="23" t="s">
        <v>23</v>
      </c>
      <c r="E30" s="24" t="s">
        <v>7</v>
      </c>
      <c r="F30" s="26">
        <v>8.6956521699999997E-2</v>
      </c>
      <c r="G30" s="26">
        <v>5.4919908400000002E-2</v>
      </c>
      <c r="H30" s="26">
        <v>0.55034324940000001</v>
      </c>
      <c r="I30" s="26">
        <v>0.88981843729999999</v>
      </c>
      <c r="J30" s="26">
        <v>0.41754147930000002</v>
      </c>
    </row>
    <row r="31" spans="1:10" ht="20" x14ac:dyDescent="0.2">
      <c r="A31" s="18"/>
      <c r="B31" s="19"/>
      <c r="C31" s="17"/>
      <c r="D31" s="23" t="s">
        <v>24</v>
      </c>
      <c r="E31" s="24" t="s">
        <v>8</v>
      </c>
      <c r="F31" s="26">
        <v>1.1441648000000001E-3</v>
      </c>
      <c r="G31" s="26">
        <v>4.9771166999999998E-2</v>
      </c>
      <c r="H31" s="26">
        <v>0.18039664380000001</v>
      </c>
      <c r="I31" s="26">
        <v>0.61880202399999995</v>
      </c>
      <c r="J31" s="26">
        <v>0.44863267369999998</v>
      </c>
    </row>
    <row r="32" spans="1:10" ht="20" x14ac:dyDescent="0.2">
      <c r="A32" s="18"/>
      <c r="B32" s="19"/>
      <c r="C32" s="17"/>
      <c r="D32" s="23" t="s">
        <v>25</v>
      </c>
      <c r="E32" s="24" t="s">
        <v>9</v>
      </c>
      <c r="F32" s="26">
        <v>5.7208240000000004E-4</v>
      </c>
      <c r="G32" s="26">
        <v>4.3859648999999999E-3</v>
      </c>
      <c r="H32" s="26">
        <v>0.28985507249999998</v>
      </c>
      <c r="I32" s="26">
        <v>0.48726395379999998</v>
      </c>
      <c r="J32" s="26">
        <v>0.48167254500000001</v>
      </c>
    </row>
    <row r="33" spans="1:10" x14ac:dyDescent="0.2">
      <c r="A33" s="4"/>
      <c r="B33" s="4"/>
      <c r="C33" s="4"/>
      <c r="D33" s="23"/>
      <c r="E33" s="24"/>
      <c r="F33" s="6"/>
      <c r="G33" s="6"/>
      <c r="H33" s="6"/>
      <c r="I33" s="6"/>
      <c r="J33" s="6"/>
    </row>
    <row r="34" spans="1:10" ht="20" x14ac:dyDescent="0.2">
      <c r="A34" s="18" t="s">
        <v>46</v>
      </c>
      <c r="B34" s="18" t="s">
        <v>51</v>
      </c>
      <c r="C34" s="16" t="s">
        <v>29</v>
      </c>
      <c r="D34" s="23" t="s">
        <v>23</v>
      </c>
      <c r="E34" s="24" t="s">
        <v>7</v>
      </c>
      <c r="F34" s="26">
        <v>6.2690548799999996E-2</v>
      </c>
      <c r="G34" s="26">
        <v>3.6204268999999998E-3</v>
      </c>
      <c r="H34" s="26">
        <v>0.42263719509999997</v>
      </c>
      <c r="I34" s="26">
        <v>0.58112046120000005</v>
      </c>
      <c r="J34" s="26">
        <v>0.51529468329999994</v>
      </c>
    </row>
    <row r="35" spans="1:10" ht="20" x14ac:dyDescent="0.2">
      <c r="A35" s="18"/>
      <c r="B35" s="18"/>
      <c r="C35" s="17"/>
      <c r="D35" s="23" t="s">
        <v>24</v>
      </c>
      <c r="E35" s="24" t="s">
        <v>8</v>
      </c>
      <c r="F35" s="26">
        <v>7.8125E-3</v>
      </c>
      <c r="G35" s="26">
        <v>4.1920730999999998E-3</v>
      </c>
      <c r="H35" s="26">
        <v>0.331554878</v>
      </c>
      <c r="I35" s="26">
        <v>0.50855967150000003</v>
      </c>
      <c r="J35" s="26">
        <v>0.49168733549999999</v>
      </c>
    </row>
    <row r="36" spans="1:10" ht="20" x14ac:dyDescent="0.2">
      <c r="A36" s="18"/>
      <c r="B36" s="18"/>
      <c r="C36" s="17"/>
      <c r="D36" s="23" t="s">
        <v>25</v>
      </c>
      <c r="E36" s="24" t="s">
        <v>9</v>
      </c>
      <c r="F36" s="26">
        <v>3.4298780500000001E-2</v>
      </c>
      <c r="G36" s="26">
        <v>7.6219510000000005E-4</v>
      </c>
      <c r="H36" s="26">
        <v>0.34184451220000001</v>
      </c>
      <c r="I36" s="26">
        <v>0.24379135830000001</v>
      </c>
      <c r="J36" s="26">
        <v>0.4980104071</v>
      </c>
    </row>
    <row r="37" spans="1:10" x14ac:dyDescent="0.2">
      <c r="A37" s="4"/>
      <c r="B37" s="18"/>
      <c r="C37" s="7"/>
      <c r="D37" s="23"/>
      <c r="E37" s="24"/>
      <c r="F37" s="6"/>
      <c r="G37" s="6"/>
      <c r="H37" s="6"/>
      <c r="I37" s="6"/>
      <c r="J37" s="6"/>
    </row>
    <row r="38" spans="1:10" ht="20" x14ac:dyDescent="0.2">
      <c r="A38" s="18" t="s">
        <v>47</v>
      </c>
      <c r="B38" s="18"/>
      <c r="C38" s="16" t="s">
        <v>30</v>
      </c>
      <c r="D38" s="23" t="s">
        <v>23</v>
      </c>
      <c r="E38" s="24" t="s">
        <v>7</v>
      </c>
      <c r="F38" s="26">
        <v>7.3742377999999997E-2</v>
      </c>
      <c r="G38" s="26">
        <v>1.77210366E-2</v>
      </c>
      <c r="H38" s="26">
        <v>0.33727134149999999</v>
      </c>
      <c r="I38" s="26">
        <v>0.84133180860000001</v>
      </c>
      <c r="J38" s="26">
        <v>0.421498506</v>
      </c>
    </row>
    <row r="39" spans="1:10" ht="20" x14ac:dyDescent="0.2">
      <c r="A39" s="18"/>
      <c r="B39" s="18"/>
      <c r="C39" s="17"/>
      <c r="D39" s="23" t="s">
        <v>24</v>
      </c>
      <c r="E39" s="24" t="s">
        <v>8</v>
      </c>
      <c r="F39" s="26">
        <v>3.6013719499999999E-2</v>
      </c>
      <c r="G39" s="26">
        <v>2.2675304899999998E-2</v>
      </c>
      <c r="H39" s="26">
        <v>0.34603658539999999</v>
      </c>
      <c r="I39" s="26">
        <v>0.78530530659999997</v>
      </c>
      <c r="J39" s="26">
        <v>0.43452962410000001</v>
      </c>
    </row>
    <row r="40" spans="1:10" ht="20" x14ac:dyDescent="0.2">
      <c r="A40" s="18"/>
      <c r="B40" s="18"/>
      <c r="C40" s="17"/>
      <c r="D40" s="23" t="s">
        <v>25</v>
      </c>
      <c r="E40" s="24" t="s">
        <v>9</v>
      </c>
      <c r="F40" s="26">
        <v>0</v>
      </c>
      <c r="G40" s="26">
        <v>1.9054878E-3</v>
      </c>
      <c r="H40" s="26">
        <v>0.64900914629999995</v>
      </c>
      <c r="I40" s="26">
        <v>0.41518582999999998</v>
      </c>
      <c r="J40" s="26">
        <v>0.4477787178</v>
      </c>
    </row>
    <row r="41" spans="1:10" x14ac:dyDescent="0.2">
      <c r="A41" s="4"/>
      <c r="B41" s="18"/>
      <c r="C41" s="7"/>
      <c r="D41" s="23"/>
      <c r="E41" s="24"/>
      <c r="F41" s="6"/>
      <c r="G41" s="6"/>
      <c r="H41" s="6"/>
      <c r="I41" s="6"/>
      <c r="J41" s="6"/>
    </row>
    <row r="42" spans="1:10" ht="20" x14ac:dyDescent="0.2">
      <c r="A42" s="18" t="s">
        <v>48</v>
      </c>
      <c r="B42" s="18"/>
      <c r="C42" s="16" t="s">
        <v>31</v>
      </c>
      <c r="D42" s="23" t="s">
        <v>23</v>
      </c>
      <c r="E42" s="24" t="s">
        <v>7</v>
      </c>
      <c r="F42" s="26">
        <v>5.6402438999999999E-2</v>
      </c>
      <c r="G42" s="26">
        <v>1.3910061E-2</v>
      </c>
      <c r="H42" s="26">
        <v>0.25647865850000001</v>
      </c>
      <c r="I42" s="26">
        <v>0.78706769850000002</v>
      </c>
      <c r="J42" s="26">
        <v>0.42004035560000003</v>
      </c>
    </row>
    <row r="43" spans="1:10" ht="20" x14ac:dyDescent="0.2">
      <c r="A43" s="18"/>
      <c r="B43" s="18"/>
      <c r="C43" s="17"/>
      <c r="D43" s="23" t="s">
        <v>24</v>
      </c>
      <c r="E43" s="24" t="s">
        <v>8</v>
      </c>
      <c r="F43" s="26">
        <v>5.7164629999999998E-4</v>
      </c>
      <c r="G43" s="26">
        <v>5.3353658000000002E-3</v>
      </c>
      <c r="H43" s="26">
        <v>0.26981707319999998</v>
      </c>
      <c r="I43" s="26">
        <v>0.48663375619999999</v>
      </c>
      <c r="J43" s="26">
        <v>0.48601019839999998</v>
      </c>
    </row>
    <row r="44" spans="1:10" ht="20" x14ac:dyDescent="0.2">
      <c r="A44" s="18"/>
      <c r="B44" s="18"/>
      <c r="C44" s="17"/>
      <c r="D44" s="23" t="s">
        <v>25</v>
      </c>
      <c r="E44" s="24" t="s">
        <v>9</v>
      </c>
      <c r="F44" s="26">
        <v>0</v>
      </c>
      <c r="G44" s="26">
        <v>1.3338415000000001E-3</v>
      </c>
      <c r="H44" s="26">
        <v>0.1211890244</v>
      </c>
      <c r="I44" s="26">
        <v>0.26047697260000002</v>
      </c>
      <c r="J44" s="26">
        <v>0.1173744025</v>
      </c>
    </row>
    <row r="45" spans="1:10" x14ac:dyDescent="0.2">
      <c r="A45" s="4"/>
      <c r="B45" s="18"/>
      <c r="C45" s="7"/>
      <c r="D45" s="23"/>
      <c r="E45" s="24"/>
      <c r="F45" s="6"/>
      <c r="G45" s="6"/>
      <c r="H45" s="6"/>
      <c r="I45" s="6"/>
      <c r="J45" s="6"/>
    </row>
    <row r="46" spans="1:10" ht="20" x14ac:dyDescent="0.2">
      <c r="A46" s="18" t="s">
        <v>49</v>
      </c>
      <c r="B46" s="18"/>
      <c r="C46" s="16" t="s">
        <v>35</v>
      </c>
      <c r="D46" s="8" t="s">
        <v>23</v>
      </c>
      <c r="E46" s="9" t="s">
        <v>7</v>
      </c>
      <c r="F46" s="27">
        <v>6.6882622000000003E-2</v>
      </c>
      <c r="G46" s="27">
        <v>4.1730182900000003E-2</v>
      </c>
      <c r="H46" s="27">
        <v>0.3525152439</v>
      </c>
      <c r="I46" s="27">
        <v>0.91800077579999995</v>
      </c>
      <c r="J46" s="27">
        <v>0.3527158145</v>
      </c>
    </row>
    <row r="47" spans="1:10" ht="20" x14ac:dyDescent="0.2">
      <c r="A47" s="18"/>
      <c r="B47" s="18"/>
      <c r="C47" s="17"/>
      <c r="D47" s="8" t="s">
        <v>24</v>
      </c>
      <c r="E47" s="9" t="s">
        <v>8</v>
      </c>
      <c r="F47" s="27">
        <v>6.0213414600000001E-2</v>
      </c>
      <c r="G47" s="27">
        <v>0.14100609750000001</v>
      </c>
      <c r="H47" s="27">
        <v>0.51181402440000001</v>
      </c>
      <c r="I47" s="27">
        <v>0.85295546509999998</v>
      </c>
      <c r="J47" s="27">
        <v>0.40423080890000002</v>
      </c>
    </row>
    <row r="48" spans="1:10" ht="20" x14ac:dyDescent="0.2">
      <c r="A48" s="18"/>
      <c r="B48" s="18"/>
      <c r="C48" s="17"/>
      <c r="D48" s="5" t="s">
        <v>25</v>
      </c>
      <c r="E48" s="4" t="s">
        <v>9</v>
      </c>
      <c r="F48" s="26">
        <v>0</v>
      </c>
      <c r="G48" s="26">
        <v>3.4298779999999999E-3</v>
      </c>
      <c r="H48" s="26">
        <v>1</v>
      </c>
      <c r="I48" s="26">
        <v>0.47132286420000002</v>
      </c>
      <c r="J48" s="26">
        <v>0.47686803360000002</v>
      </c>
    </row>
    <row r="51" spans="4:10" x14ac:dyDescent="0.2">
      <c r="E51" s="8" t="s">
        <v>39</v>
      </c>
      <c r="F51" s="11">
        <f>MAX(F2:F48)</f>
        <v>0.1186117468</v>
      </c>
      <c r="G51" s="11">
        <f>MAX(G2:G48)</f>
        <v>0.14100609750000001</v>
      </c>
      <c r="H51" s="11">
        <f>MAX(H2:H48)</f>
        <v>1</v>
      </c>
      <c r="I51" s="11">
        <f>MAX(I2:I48)</f>
        <v>0.91800077579999995</v>
      </c>
      <c r="J51" s="11">
        <f>MAX(J2:J48)</f>
        <v>0.86156660770000004</v>
      </c>
    </row>
    <row r="52" spans="4:10" x14ac:dyDescent="0.2">
      <c r="D52" s="5" t="s">
        <v>37</v>
      </c>
      <c r="E52" s="8" t="s">
        <v>38</v>
      </c>
      <c r="F52" s="11">
        <f>AVERAGE(F2:F48)</f>
        <v>2.9188943391666666E-2</v>
      </c>
      <c r="G52" s="11">
        <f>AVERAGE(G2:G48)</f>
        <v>1.396818327777778E-2</v>
      </c>
      <c r="H52" s="11">
        <f>AVERAGE(H2:H48)</f>
        <v>0.46132214239166669</v>
      </c>
      <c r="I52" s="11">
        <f>AVERAGE(I2:I48)</f>
        <v>0.60742296074166668</v>
      </c>
      <c r="J52" s="11">
        <f>AVERAGE(J2:J48)</f>
        <v>0.45209118341388899</v>
      </c>
    </row>
  </sheetData>
  <mergeCells count="26">
    <mergeCell ref="A30:A32"/>
    <mergeCell ref="C30:C32"/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BED1-E6AE-6440-9DA8-C62C40C218E4}">
  <dimension ref="A1:K52"/>
  <sheetViews>
    <sheetView workbookViewId="0">
      <selection activeCell="F2" sqref="F2:J4"/>
    </sheetView>
  </sheetViews>
  <sheetFormatPr baseColWidth="10" defaultColWidth="8.83203125" defaultRowHeight="19" x14ac:dyDescent="0.2"/>
  <cols>
    <col min="1" max="1" width="44.83203125" style="5" bestFit="1" customWidth="1"/>
    <col min="2" max="2" width="33.83203125" style="5" customWidth="1"/>
    <col min="3" max="3" width="50.1640625" style="5" bestFit="1" customWidth="1"/>
    <col min="4" max="4" width="26.6640625" style="5" customWidth="1"/>
    <col min="5" max="5" width="17.6640625" style="5" customWidth="1"/>
    <col min="6" max="6" width="32.83203125" style="12" bestFit="1" customWidth="1"/>
    <col min="7" max="7" width="30.33203125" style="12" bestFit="1" customWidth="1"/>
    <col min="8" max="8" width="36.5" style="12" bestFit="1" customWidth="1"/>
    <col min="9" max="9" width="39" style="12" bestFit="1" customWidth="1"/>
    <col min="10" max="10" width="42.5" style="12" bestFit="1" customWidth="1"/>
    <col min="11" max="16384" width="8.83203125" style="5"/>
  </cols>
  <sheetData>
    <row r="1" spans="1:10" s="22" customFormat="1" ht="89" thickBot="1" x14ac:dyDescent="0.25">
      <c r="A1" s="20" t="s">
        <v>54</v>
      </c>
      <c r="B1" s="20" t="s">
        <v>26</v>
      </c>
      <c r="C1" s="20" t="s">
        <v>27</v>
      </c>
      <c r="D1" s="20" t="s">
        <v>22</v>
      </c>
      <c r="E1" s="20" t="s">
        <v>0</v>
      </c>
      <c r="F1" s="21" t="s">
        <v>1</v>
      </c>
      <c r="G1" s="21" t="s">
        <v>2</v>
      </c>
      <c r="H1" s="21" t="s">
        <v>3</v>
      </c>
      <c r="I1" s="21" t="s">
        <v>4</v>
      </c>
      <c r="J1" s="21" t="s">
        <v>5</v>
      </c>
    </row>
    <row r="2" spans="1:10" ht="20" x14ac:dyDescent="0.2">
      <c r="A2" s="18" t="s">
        <v>17</v>
      </c>
      <c r="B2" s="19" t="s">
        <v>28</v>
      </c>
      <c r="C2" s="16" t="s">
        <v>29</v>
      </c>
      <c r="D2" s="5" t="s">
        <v>23</v>
      </c>
      <c r="E2" s="4" t="s">
        <v>7</v>
      </c>
      <c r="F2" s="6"/>
      <c r="G2" s="6"/>
      <c r="H2" s="6"/>
      <c r="I2" s="6"/>
      <c r="J2" s="6"/>
    </row>
    <row r="3" spans="1:10" ht="20" x14ac:dyDescent="0.2">
      <c r="A3" s="18"/>
      <c r="B3" s="19"/>
      <c r="C3" s="17"/>
      <c r="D3" s="5" t="s">
        <v>24</v>
      </c>
      <c r="E3" s="4" t="s">
        <v>8</v>
      </c>
      <c r="F3" s="6"/>
      <c r="G3" s="6"/>
      <c r="H3" s="6"/>
      <c r="I3" s="6"/>
      <c r="J3" s="6"/>
    </row>
    <row r="4" spans="1:10" ht="20" x14ac:dyDescent="0.2">
      <c r="A4" s="18"/>
      <c r="B4" s="19"/>
      <c r="C4" s="17"/>
      <c r="D4" s="5" t="s">
        <v>25</v>
      </c>
      <c r="E4" s="4" t="s">
        <v>9</v>
      </c>
      <c r="F4" s="6"/>
      <c r="G4" s="6"/>
      <c r="H4" s="6"/>
      <c r="I4" s="6"/>
      <c r="J4" s="6"/>
    </row>
    <row r="5" spans="1:10" x14ac:dyDescent="0.2">
      <c r="A5" s="4"/>
      <c r="B5" s="19"/>
      <c r="C5" s="7"/>
      <c r="E5" s="4"/>
      <c r="F5" s="6"/>
      <c r="G5" s="6"/>
      <c r="H5" s="6"/>
      <c r="I5" s="6"/>
      <c r="J5" s="6"/>
    </row>
    <row r="6" spans="1:10" ht="20" x14ac:dyDescent="0.2">
      <c r="A6" s="18" t="s">
        <v>18</v>
      </c>
      <c r="B6" s="19"/>
      <c r="C6" s="16" t="s">
        <v>30</v>
      </c>
      <c r="D6" s="5" t="s">
        <v>23</v>
      </c>
      <c r="E6" s="4" t="s">
        <v>7</v>
      </c>
      <c r="F6" s="6"/>
      <c r="G6" s="6"/>
      <c r="H6" s="6"/>
      <c r="I6" s="6"/>
      <c r="J6" s="6"/>
    </row>
    <row r="7" spans="1:10" ht="20" x14ac:dyDescent="0.2">
      <c r="A7" s="18"/>
      <c r="B7" s="19"/>
      <c r="C7" s="17"/>
      <c r="D7" s="5" t="s">
        <v>24</v>
      </c>
      <c r="E7" s="4" t="s">
        <v>8</v>
      </c>
      <c r="F7" s="6"/>
      <c r="G7" s="6"/>
      <c r="H7" s="6"/>
      <c r="I7" s="6"/>
      <c r="J7" s="6"/>
    </row>
    <row r="8" spans="1:10" ht="20" x14ac:dyDescent="0.2">
      <c r="A8" s="18"/>
      <c r="B8" s="19"/>
      <c r="C8" s="17"/>
      <c r="D8" s="5" t="s">
        <v>25</v>
      </c>
      <c r="E8" s="4" t="s">
        <v>9</v>
      </c>
      <c r="F8" s="6"/>
      <c r="G8" s="6"/>
      <c r="H8" s="6"/>
      <c r="I8" s="6"/>
      <c r="J8" s="6"/>
    </row>
    <row r="9" spans="1:10" x14ac:dyDescent="0.2">
      <c r="A9" s="4"/>
      <c r="B9" s="19"/>
      <c r="C9" s="7"/>
      <c r="E9" s="4"/>
      <c r="F9" s="6"/>
      <c r="G9" s="6"/>
      <c r="H9" s="6"/>
      <c r="I9" s="6"/>
      <c r="J9" s="6"/>
    </row>
    <row r="10" spans="1:10" ht="20" x14ac:dyDescent="0.2">
      <c r="A10" s="18" t="s">
        <v>13</v>
      </c>
      <c r="B10" s="19"/>
      <c r="C10" s="16" t="s">
        <v>31</v>
      </c>
      <c r="D10" s="5" t="s">
        <v>23</v>
      </c>
      <c r="E10" s="4" t="s">
        <v>7</v>
      </c>
      <c r="F10" s="6"/>
      <c r="G10" s="6"/>
      <c r="H10" s="6"/>
      <c r="I10" s="6"/>
      <c r="J10" s="6"/>
    </row>
    <row r="11" spans="1:10" ht="20" x14ac:dyDescent="0.2">
      <c r="A11" s="18"/>
      <c r="B11" s="19"/>
      <c r="C11" s="17"/>
      <c r="D11" s="5" t="s">
        <v>24</v>
      </c>
      <c r="E11" s="4" t="s">
        <v>8</v>
      </c>
      <c r="F11" s="6"/>
      <c r="G11" s="6"/>
      <c r="H11" s="6"/>
      <c r="I11" s="6"/>
      <c r="J11" s="6"/>
    </row>
    <row r="12" spans="1:10" ht="20" x14ac:dyDescent="0.2">
      <c r="A12" s="18"/>
      <c r="B12" s="19"/>
      <c r="C12" s="17"/>
      <c r="D12" s="5" t="s">
        <v>25</v>
      </c>
      <c r="E12" s="4" t="s">
        <v>9</v>
      </c>
      <c r="F12" s="6"/>
      <c r="G12" s="6"/>
      <c r="H12" s="6"/>
      <c r="I12" s="6"/>
      <c r="J12" s="6"/>
    </row>
    <row r="13" spans="1:10" x14ac:dyDescent="0.2">
      <c r="A13" s="4"/>
      <c r="B13" s="19"/>
      <c r="C13" s="7"/>
      <c r="E13" s="4"/>
      <c r="F13" s="6"/>
      <c r="G13" s="6"/>
      <c r="H13" s="6"/>
      <c r="I13" s="6"/>
      <c r="J13" s="6"/>
    </row>
    <row r="14" spans="1:10" ht="20" x14ac:dyDescent="0.2">
      <c r="A14" s="18" t="s">
        <v>10</v>
      </c>
      <c r="B14" s="19"/>
      <c r="C14" s="16" t="s">
        <v>32</v>
      </c>
      <c r="D14" s="5" t="s">
        <v>23</v>
      </c>
      <c r="E14" s="4" t="s">
        <v>7</v>
      </c>
      <c r="F14" s="6"/>
      <c r="G14" s="6"/>
      <c r="H14" s="6"/>
      <c r="I14" s="6"/>
      <c r="J14" s="6"/>
    </row>
    <row r="15" spans="1:10" ht="20" x14ac:dyDescent="0.2">
      <c r="A15" s="18"/>
      <c r="B15" s="19"/>
      <c r="C15" s="17"/>
      <c r="D15" s="5" t="s">
        <v>24</v>
      </c>
      <c r="E15" s="4" t="s">
        <v>8</v>
      </c>
      <c r="F15" s="6"/>
      <c r="G15" s="6"/>
      <c r="H15" s="6"/>
      <c r="I15" s="6"/>
      <c r="J15" s="6"/>
    </row>
    <row r="16" spans="1:10" ht="20" x14ac:dyDescent="0.2">
      <c r="A16" s="18"/>
      <c r="B16" s="19"/>
      <c r="C16" s="17"/>
      <c r="D16" s="5" t="s">
        <v>25</v>
      </c>
      <c r="E16" s="4" t="s">
        <v>9</v>
      </c>
      <c r="F16" s="6"/>
      <c r="G16" s="6"/>
      <c r="H16" s="6"/>
      <c r="I16" s="6"/>
      <c r="J16" s="6"/>
    </row>
    <row r="17" spans="1:11" x14ac:dyDescent="0.2">
      <c r="A17" s="4"/>
      <c r="B17" s="19"/>
      <c r="C17" s="7"/>
      <c r="E17" s="4"/>
      <c r="F17" s="6"/>
      <c r="G17" s="6"/>
      <c r="H17" s="6"/>
      <c r="I17" s="6"/>
      <c r="J17" s="6"/>
    </row>
    <row r="18" spans="1:11" ht="20" x14ac:dyDescent="0.2">
      <c r="A18" s="18" t="s">
        <v>14</v>
      </c>
      <c r="B18" s="19"/>
      <c r="C18" s="16" t="s">
        <v>33</v>
      </c>
      <c r="D18" s="5" t="s">
        <v>23</v>
      </c>
      <c r="E18" s="4" t="s">
        <v>7</v>
      </c>
      <c r="F18" s="6"/>
      <c r="G18" s="6"/>
      <c r="H18" s="6"/>
      <c r="I18" s="6"/>
      <c r="J18" s="6"/>
    </row>
    <row r="19" spans="1:11" ht="20" x14ac:dyDescent="0.2">
      <c r="A19" s="18"/>
      <c r="B19" s="19"/>
      <c r="C19" s="17"/>
      <c r="D19" s="5" t="s">
        <v>24</v>
      </c>
      <c r="E19" s="4" t="s">
        <v>8</v>
      </c>
      <c r="F19" s="6"/>
      <c r="G19" s="6"/>
      <c r="H19" s="6"/>
      <c r="I19" s="6"/>
      <c r="J19" s="6"/>
    </row>
    <row r="20" spans="1:11" ht="20" x14ac:dyDescent="0.2">
      <c r="A20" s="18"/>
      <c r="B20" s="19"/>
      <c r="C20" s="17"/>
      <c r="D20" s="5" t="s">
        <v>25</v>
      </c>
      <c r="E20" s="4" t="s">
        <v>9</v>
      </c>
      <c r="F20" s="6"/>
      <c r="G20" s="6"/>
      <c r="H20" s="6"/>
      <c r="I20" s="6"/>
      <c r="J20" s="6"/>
    </row>
    <row r="21" spans="1:11" x14ac:dyDescent="0.2">
      <c r="A21" s="4"/>
      <c r="B21" s="19"/>
      <c r="C21" s="7"/>
      <c r="E21" s="4"/>
      <c r="F21" s="6"/>
      <c r="G21" s="6"/>
      <c r="H21" s="6"/>
      <c r="I21" s="6"/>
      <c r="J21" s="6"/>
    </row>
    <row r="22" spans="1:11" ht="20" x14ac:dyDescent="0.2">
      <c r="A22" s="18" t="s">
        <v>12</v>
      </c>
      <c r="B22" s="19"/>
      <c r="C22" s="16" t="s">
        <v>34</v>
      </c>
      <c r="D22" s="5" t="s">
        <v>23</v>
      </c>
      <c r="E22" s="4" t="s">
        <v>7</v>
      </c>
      <c r="F22" s="6"/>
      <c r="G22" s="6"/>
      <c r="H22" s="6"/>
      <c r="I22" s="6"/>
      <c r="J22" s="6"/>
    </row>
    <row r="23" spans="1:11" ht="20" x14ac:dyDescent="0.2">
      <c r="A23" s="18"/>
      <c r="B23" s="19"/>
      <c r="C23" s="17"/>
      <c r="D23" s="5" t="s">
        <v>24</v>
      </c>
      <c r="E23" s="4" t="s">
        <v>8</v>
      </c>
      <c r="F23" s="6"/>
      <c r="G23" s="6"/>
      <c r="H23" s="6"/>
      <c r="I23" s="6"/>
      <c r="J23" s="6"/>
    </row>
    <row r="24" spans="1:11" ht="20" x14ac:dyDescent="0.2">
      <c r="A24" s="18"/>
      <c r="B24" s="19"/>
      <c r="C24" s="17"/>
      <c r="D24" s="5" t="s">
        <v>25</v>
      </c>
      <c r="E24" s="4" t="s">
        <v>9</v>
      </c>
      <c r="F24" s="6"/>
      <c r="G24" s="6"/>
      <c r="H24" s="6"/>
      <c r="I24" s="6"/>
      <c r="J24" s="6"/>
    </row>
    <row r="25" spans="1:11" x14ac:dyDescent="0.2">
      <c r="A25" s="4"/>
      <c r="B25" s="19"/>
      <c r="C25" s="7"/>
      <c r="E25" s="4"/>
      <c r="F25" s="6"/>
      <c r="G25" s="6"/>
      <c r="H25" s="6"/>
      <c r="I25" s="6"/>
      <c r="J25" s="6"/>
    </row>
    <row r="26" spans="1:11" ht="20" x14ac:dyDescent="0.2">
      <c r="A26" s="18" t="s">
        <v>15</v>
      </c>
      <c r="B26" s="19"/>
      <c r="C26" s="16" t="s">
        <v>35</v>
      </c>
      <c r="D26" s="23" t="s">
        <v>23</v>
      </c>
      <c r="E26" s="24" t="s">
        <v>7</v>
      </c>
      <c r="F26" s="25"/>
      <c r="G26" s="25"/>
      <c r="H26" s="25"/>
      <c r="I26" s="25"/>
      <c r="J26" s="25"/>
      <c r="K26" s="23"/>
    </row>
    <row r="27" spans="1:11" ht="20" x14ac:dyDescent="0.2">
      <c r="A27" s="18"/>
      <c r="B27" s="19"/>
      <c r="C27" s="17"/>
      <c r="D27" s="23" t="s">
        <v>24</v>
      </c>
      <c r="E27" s="24" t="s">
        <v>8</v>
      </c>
      <c r="F27" s="25"/>
      <c r="G27" s="25"/>
      <c r="H27" s="25"/>
      <c r="I27" s="25"/>
      <c r="J27" s="25"/>
      <c r="K27" s="23"/>
    </row>
    <row r="28" spans="1:11" ht="20" x14ac:dyDescent="0.2">
      <c r="A28" s="18"/>
      <c r="B28" s="19"/>
      <c r="C28" s="17"/>
      <c r="D28" s="23" t="s">
        <v>25</v>
      </c>
      <c r="E28" s="24" t="s">
        <v>9</v>
      </c>
      <c r="F28" s="25"/>
      <c r="G28" s="25"/>
      <c r="H28" s="25"/>
      <c r="I28" s="25"/>
      <c r="J28" s="25"/>
      <c r="K28" s="23"/>
    </row>
    <row r="29" spans="1:11" x14ac:dyDescent="0.2">
      <c r="A29" s="4"/>
      <c r="B29" s="19"/>
      <c r="C29" s="7"/>
      <c r="D29" s="23"/>
      <c r="E29" s="24"/>
      <c r="F29" s="25"/>
      <c r="G29" s="25"/>
      <c r="H29" s="25"/>
      <c r="I29" s="25"/>
      <c r="J29" s="25"/>
      <c r="K29" s="23"/>
    </row>
    <row r="30" spans="1:11" ht="20" x14ac:dyDescent="0.2">
      <c r="A30" s="18" t="s">
        <v>11</v>
      </c>
      <c r="B30" s="19"/>
      <c r="C30" s="16" t="s">
        <v>36</v>
      </c>
      <c r="D30" s="23" t="s">
        <v>23</v>
      </c>
      <c r="E30" s="24" t="s">
        <v>7</v>
      </c>
      <c r="F30" s="25"/>
      <c r="G30" s="25"/>
      <c r="H30" s="25"/>
      <c r="I30" s="25"/>
      <c r="J30" s="25"/>
      <c r="K30" s="23"/>
    </row>
    <row r="31" spans="1:11" ht="20" x14ac:dyDescent="0.2">
      <c r="A31" s="18"/>
      <c r="B31" s="19"/>
      <c r="C31" s="17"/>
      <c r="D31" s="23" t="s">
        <v>24</v>
      </c>
      <c r="E31" s="24" t="s">
        <v>8</v>
      </c>
      <c r="F31" s="25"/>
      <c r="G31" s="25"/>
      <c r="H31" s="25"/>
      <c r="I31" s="25"/>
      <c r="J31" s="25"/>
      <c r="K31" s="23"/>
    </row>
    <row r="32" spans="1:11" ht="20" x14ac:dyDescent="0.2">
      <c r="A32" s="18"/>
      <c r="B32" s="19"/>
      <c r="C32" s="17"/>
      <c r="D32" s="23" t="s">
        <v>25</v>
      </c>
      <c r="E32" s="24" t="s">
        <v>9</v>
      </c>
      <c r="F32" s="25"/>
      <c r="G32" s="25"/>
      <c r="H32" s="25"/>
      <c r="I32" s="25"/>
      <c r="J32" s="25"/>
      <c r="K32" s="23"/>
    </row>
    <row r="33" spans="1:11" x14ac:dyDescent="0.2">
      <c r="A33" s="4"/>
      <c r="B33" s="4"/>
      <c r="C33" s="4"/>
      <c r="D33" s="23"/>
      <c r="E33" s="24"/>
      <c r="F33" s="25"/>
      <c r="G33" s="25"/>
      <c r="H33" s="25"/>
      <c r="I33" s="25"/>
      <c r="J33" s="25"/>
      <c r="K33" s="23"/>
    </row>
    <row r="34" spans="1:11" ht="20" x14ac:dyDescent="0.2">
      <c r="A34" s="18" t="s">
        <v>19</v>
      </c>
      <c r="B34" s="18" t="s">
        <v>51</v>
      </c>
      <c r="C34" s="16" t="s">
        <v>29</v>
      </c>
      <c r="D34" s="23" t="s">
        <v>23</v>
      </c>
      <c r="E34" s="24" t="s">
        <v>7</v>
      </c>
      <c r="F34" s="25"/>
      <c r="G34" s="25"/>
      <c r="H34" s="25"/>
      <c r="I34" s="25"/>
      <c r="J34" s="25"/>
      <c r="K34" s="23"/>
    </row>
    <row r="35" spans="1:11" ht="20" x14ac:dyDescent="0.2">
      <c r="A35" s="18"/>
      <c r="B35" s="18"/>
      <c r="C35" s="17"/>
      <c r="D35" s="23" t="s">
        <v>24</v>
      </c>
      <c r="E35" s="24" t="s">
        <v>8</v>
      </c>
      <c r="F35" s="25"/>
      <c r="G35" s="25"/>
      <c r="H35" s="25"/>
      <c r="I35" s="25"/>
      <c r="J35" s="25"/>
      <c r="K35" s="23"/>
    </row>
    <row r="36" spans="1:11" ht="20" x14ac:dyDescent="0.2">
      <c r="A36" s="18"/>
      <c r="B36" s="18"/>
      <c r="C36" s="17"/>
      <c r="D36" s="23" t="s">
        <v>25</v>
      </c>
      <c r="E36" s="24" t="s">
        <v>9</v>
      </c>
      <c r="F36" s="25"/>
      <c r="G36" s="25"/>
      <c r="H36" s="25"/>
      <c r="I36" s="25"/>
      <c r="J36" s="25"/>
      <c r="K36" s="23"/>
    </row>
    <row r="37" spans="1:11" x14ac:dyDescent="0.2">
      <c r="A37" s="4"/>
      <c r="B37" s="18"/>
      <c r="C37" s="7"/>
      <c r="D37" s="23"/>
      <c r="E37" s="24"/>
      <c r="F37" s="25"/>
      <c r="G37" s="25"/>
      <c r="H37" s="25"/>
      <c r="I37" s="25"/>
      <c r="J37" s="25"/>
      <c r="K37" s="23"/>
    </row>
    <row r="38" spans="1:11" ht="20" x14ac:dyDescent="0.2">
      <c r="A38" s="18" t="s">
        <v>20</v>
      </c>
      <c r="B38" s="18"/>
      <c r="C38" s="16" t="s">
        <v>30</v>
      </c>
      <c r="D38" s="23" t="s">
        <v>23</v>
      </c>
      <c r="E38" s="24" t="s">
        <v>7</v>
      </c>
      <c r="F38" s="25"/>
      <c r="G38" s="25"/>
      <c r="H38" s="25"/>
      <c r="I38" s="25"/>
      <c r="J38" s="25"/>
      <c r="K38" s="23"/>
    </row>
    <row r="39" spans="1:11" ht="20" x14ac:dyDescent="0.2">
      <c r="A39" s="18"/>
      <c r="B39" s="18"/>
      <c r="C39" s="17"/>
      <c r="D39" s="23" t="s">
        <v>24</v>
      </c>
      <c r="E39" s="24" t="s">
        <v>8</v>
      </c>
      <c r="F39" s="25"/>
      <c r="G39" s="25"/>
      <c r="H39" s="25"/>
      <c r="I39" s="25"/>
      <c r="J39" s="25"/>
      <c r="K39" s="23"/>
    </row>
    <row r="40" spans="1:11" ht="20" x14ac:dyDescent="0.2">
      <c r="A40" s="18"/>
      <c r="B40" s="18"/>
      <c r="C40" s="17"/>
      <c r="D40" s="5" t="s">
        <v>25</v>
      </c>
      <c r="E40" s="4" t="s">
        <v>9</v>
      </c>
      <c r="F40" s="6"/>
      <c r="G40" s="6"/>
      <c r="H40" s="6"/>
      <c r="I40" s="6"/>
      <c r="J40" s="6"/>
    </row>
    <row r="41" spans="1:11" x14ac:dyDescent="0.2">
      <c r="A41" s="4"/>
      <c r="B41" s="18"/>
      <c r="C41" s="7"/>
      <c r="E41" s="4"/>
      <c r="F41" s="6"/>
      <c r="G41" s="6"/>
      <c r="H41" s="6"/>
      <c r="I41" s="6"/>
      <c r="J41" s="6"/>
    </row>
    <row r="42" spans="1:11" ht="20" x14ac:dyDescent="0.2">
      <c r="A42" s="18" t="s">
        <v>6</v>
      </c>
      <c r="B42" s="18"/>
      <c r="C42" s="16" t="s">
        <v>31</v>
      </c>
      <c r="D42" s="5" t="s">
        <v>23</v>
      </c>
      <c r="E42" s="4" t="s">
        <v>7</v>
      </c>
      <c r="F42" s="6"/>
      <c r="G42" s="6"/>
      <c r="H42" s="6"/>
      <c r="I42" s="6"/>
      <c r="J42" s="6"/>
    </row>
    <row r="43" spans="1:11" ht="20" x14ac:dyDescent="0.2">
      <c r="A43" s="18"/>
      <c r="B43" s="18"/>
      <c r="C43" s="17"/>
      <c r="D43" s="5" t="s">
        <v>24</v>
      </c>
      <c r="E43" s="4" t="s">
        <v>8</v>
      </c>
      <c r="F43" s="6"/>
      <c r="G43" s="6"/>
      <c r="H43" s="6"/>
      <c r="I43" s="6"/>
      <c r="J43" s="6"/>
    </row>
    <row r="44" spans="1:11" ht="20" x14ac:dyDescent="0.2">
      <c r="A44" s="18"/>
      <c r="B44" s="18"/>
      <c r="C44" s="17"/>
      <c r="D44" s="5" t="s">
        <v>25</v>
      </c>
      <c r="E44" s="4" t="s">
        <v>9</v>
      </c>
      <c r="F44" s="6"/>
      <c r="G44" s="6"/>
      <c r="H44" s="6"/>
      <c r="I44" s="6"/>
      <c r="J44" s="6"/>
    </row>
    <row r="45" spans="1:11" x14ac:dyDescent="0.2">
      <c r="A45" s="4"/>
      <c r="B45" s="18"/>
      <c r="C45" s="7"/>
      <c r="E45" s="4"/>
      <c r="F45" s="6"/>
      <c r="G45" s="6"/>
      <c r="H45" s="6"/>
      <c r="I45" s="6"/>
      <c r="J45" s="6"/>
    </row>
    <row r="46" spans="1:11" ht="20" x14ac:dyDescent="0.2">
      <c r="A46" s="18" t="s">
        <v>16</v>
      </c>
      <c r="B46" s="18"/>
      <c r="C46" s="16" t="s">
        <v>35</v>
      </c>
      <c r="D46" s="5" t="s">
        <v>23</v>
      </c>
      <c r="E46" s="4" t="s">
        <v>7</v>
      </c>
      <c r="F46" s="6"/>
      <c r="G46" s="6"/>
      <c r="H46" s="6"/>
      <c r="I46" s="6"/>
      <c r="J46" s="6"/>
    </row>
    <row r="47" spans="1:11" ht="20" x14ac:dyDescent="0.2">
      <c r="A47" s="18"/>
      <c r="B47" s="18"/>
      <c r="C47" s="17"/>
      <c r="D47" s="5" t="s">
        <v>24</v>
      </c>
      <c r="E47" s="4" t="s">
        <v>8</v>
      </c>
      <c r="F47" s="6"/>
      <c r="G47" s="6"/>
      <c r="H47" s="6"/>
      <c r="I47" s="6"/>
      <c r="J47" s="6"/>
    </row>
    <row r="48" spans="1:11" ht="20" x14ac:dyDescent="0.2">
      <c r="A48" s="18"/>
      <c r="B48" s="18"/>
      <c r="C48" s="17"/>
      <c r="D48" s="5" t="s">
        <v>25</v>
      </c>
      <c r="E48" s="4" t="s">
        <v>9</v>
      </c>
      <c r="F48" s="6"/>
      <c r="G48" s="6"/>
      <c r="H48" s="6"/>
      <c r="I48" s="6"/>
      <c r="J48" s="6"/>
    </row>
    <row r="51" spans="4:10" x14ac:dyDescent="0.2">
      <c r="E51" s="8" t="s">
        <v>39</v>
      </c>
      <c r="F51" s="11">
        <f>MAX(F2:F48)</f>
        <v>0</v>
      </c>
      <c r="G51" s="11">
        <f>MAX(G2:G48)</f>
        <v>0</v>
      </c>
      <c r="H51" s="11">
        <f>MAX(H2:H48)</f>
        <v>0</v>
      </c>
      <c r="I51" s="11">
        <f>MAX(I2:I48)</f>
        <v>0</v>
      </c>
      <c r="J51" s="11">
        <f>MAX(J2:J48)</f>
        <v>0</v>
      </c>
    </row>
    <row r="52" spans="4:10" x14ac:dyDescent="0.2">
      <c r="D52" s="5" t="s">
        <v>37</v>
      </c>
      <c r="E52" s="8" t="s">
        <v>38</v>
      </c>
      <c r="F52" s="11" t="e">
        <f>AVERAGE(F2:F48)</f>
        <v>#DIV/0!</v>
      </c>
      <c r="G52" s="11" t="e">
        <f>AVERAGE(G2:G48)</f>
        <v>#DIV/0!</v>
      </c>
      <c r="H52" s="11" t="e">
        <f>AVERAGE(H2:H48)</f>
        <v>#DIV/0!</v>
      </c>
      <c r="I52" s="11" t="e">
        <f>AVERAGE(I2:I48)</f>
        <v>#DIV/0!</v>
      </c>
      <c r="J52" s="11" t="e">
        <f>AVERAGE(J2:J48)</f>
        <v>#DIV/0!</v>
      </c>
    </row>
  </sheetData>
  <mergeCells count="26"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  <mergeCell ref="C18:C20"/>
    <mergeCell ref="A22:A24"/>
    <mergeCell ref="C22:C24"/>
    <mergeCell ref="A26:A28"/>
    <mergeCell ref="C26:C28"/>
    <mergeCell ref="A30:A32"/>
    <mergeCell ref="C30:C32"/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basic</vt:lpstr>
      <vt:lpstr>special</vt:lpstr>
      <vt:lpstr>pretrained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Deborah Dore</cp:lastModifiedBy>
  <dcterms:created xsi:type="dcterms:W3CDTF">2024-02-16T09:07:14Z</dcterms:created>
  <dcterms:modified xsi:type="dcterms:W3CDTF">2024-02-16T13:02:19Z</dcterms:modified>
</cp:coreProperties>
</file>